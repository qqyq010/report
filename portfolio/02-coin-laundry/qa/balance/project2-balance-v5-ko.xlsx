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384e7416e48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대시보드" sheetId="1" r:id="R1578d9b0fb3041ef"/>
    <x:sheet xmlns:r="http://schemas.openxmlformats.org/officeDocument/2006/relationships" name="현재 기준" sheetId="2" r:id="R835590ebbe6344ca"/>
    <x:sheet xmlns:r="http://schemas.openxmlformats.org/officeDocument/2006/relationships" name="성장 곡선" sheetId="3" r:id="R37b5017548bd44b0"/>
    <x:sheet xmlns:r="http://schemas.openxmlformats.org/officeDocument/2006/relationships" name="스폰 타임라인" sheetId="4" r:id="Rba8d216dbc084452"/>
    <x:sheet xmlns:r="http://schemas.openxmlformats.org/officeDocument/2006/relationships" name="적·보스" sheetId="5" r:id="Rf370b4e3a16f4b08"/>
    <x:sheet xmlns:r="http://schemas.openxmlformats.org/officeDocument/2006/relationships" name="경제 흐름" sheetId="6" r:id="R03491c0fa278440b"/>
    <x:sheet xmlns:r="http://schemas.openxmlformats.org/officeDocument/2006/relationships" name="인벤토리 경제" sheetId="7" r:id="R219ee3e3d94e4b7a"/>
    <x:sheet xmlns:r="http://schemas.openxmlformats.org/officeDocument/2006/relationships" name="패시브 시너지" sheetId="8" r:id="R44560722afae4e4c"/>
    <x:sheet xmlns:r="http://schemas.openxmlformats.org/officeDocument/2006/relationships" name="무기 DPS" sheetId="9" r:id="R0f4ff1ad4d1141c1"/>
    <x:sheet xmlns:r="http://schemas.openxmlformats.org/officeDocument/2006/relationships" name="성장·카메라 예산" sheetId="10" r:id="Rf3a6a09207094051"/>
    <x:sheet xmlns:r="http://schemas.openxmlformats.org/officeDocument/2006/relationships" name="플레이 모드 입력" sheetId="11" r:id="R8724e8e7b0684cb0"/>
    <x:sheet xmlns:r="http://schemas.openxmlformats.org/officeDocument/2006/relationships" name="데이터 품질" sheetId="12" r:id="R0cc94dde553f47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&quot; G&quot;"/>
    <x:numFmt numFmtId="202" formatCode="0&quot;초&quot;"/>
    <x:numFmt numFmtId="203" formatCode="0.0"/>
    <x:numFmt numFmtId="204" formatCode="0.00"/>
  </x:numFmts>
  <x:fonts count="7">
    <x:font>
      <x:sz val="11"/>
      <x:name val="Carlito"/>
    </x:font>
    <x:font>
      <x:b/>
      <x:sz val="18"/>
      <x:color rgb="FFFFFFFF"/>
      <x:name val="Malgun Gothic"/>
    </x:font>
    <x:font>
      <x:sz val="10"/>
      <x:color rgb="FF24313B"/>
      <x:name val="Malgun Gothic"/>
    </x:font>
    <x:font>
      <x:b/>
      <x:sz val="12"/>
      <x:color rgb="FFFFFFFF"/>
      <x:name val="Malgun Gothic"/>
    </x:font>
    <x:font>
      <x:b/>
      <x:sz val="10"/>
      <x:color rgb="FFFFFFFF"/>
      <x:name val="Malgun Gothic"/>
    </x:font>
    <x:font>
      <x:b/>
      <x:sz val="10"/>
      <x:color rgb="FF24313B"/>
      <x:name val="Malgun Gothic"/>
    </x:font>
    <x:font>
      <x:b/>
      <x:sz val="11"/>
      <x:color rgb="FFFFFFFF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7F4F7"/>
      </x:patternFill>
    </x:fill>
    <x:fill>
      <x:patternFill patternType="solid">
        <x:fgColor rgb="FF167D83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7C9D3"/>
      </x:left>
      <x:right style="thin">
        <x:color rgb="FFB7C9D3"/>
      </x:right>
      <x:top style="thin">
        <x:color rgb="FFB7C9D3"/>
      </x:top>
      <x:bottom style="thin">
        <x:color rgb="FFB7C9D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/>
    <x:xf numFmtId="202" fontId="2" fillId="0" borderId="1" xfId="0" applyNumberFormat="1" applyFont="1" applyFill="1" applyBorder="1" applyAlignment="1">
      <x:alignment vertical="center" wrapText="1"/>
    </x:xf>
    <x:xf numFmtId="203" fontId="2" fillId="0" borderId="1" xfId="0" applyNumberFormat="1" applyFont="1" applyFill="1" applyBorder="1" applyAlignment="1">
      <x:alignment vertical="center" wrapText="1"/>
    </x:xf>
    <x:xf numFmtId="200" fontId="2" fillId="5" borderId="1" xfId="0" applyNumberFormat="1" applyFont="1" applyFill="1" applyBorder="1" applyAlignment="1">
      <x:alignment vertical="center" wrapText="1"/>
    </x:xf>
    <x:xf numFmtId="204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>
          <x:bgColor rgb="FFF4CCCC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20d18821b242ad" /><Relationship Type="http://schemas.openxmlformats.org/officeDocument/2006/relationships/theme" Target="/xl/theme/theme1.xml" Id="R0405257f3c5e47e4" /><Relationship Type="http://schemas.openxmlformats.org/officeDocument/2006/relationships/sharedStrings" Target="/xl/sharedStrings.xml" Id="R975781aafcee4aca" /><Relationship Type="http://schemas.openxmlformats.org/officeDocument/2006/relationships/worksheet" Target="/xl/worksheets/sheet1.xml" Id="R1578d9b0fb3041ef" /><Relationship Type="http://schemas.openxmlformats.org/officeDocument/2006/relationships/worksheet" Target="/xl/worksheets/sheet2.xml" Id="R835590ebbe6344ca" /><Relationship Type="http://schemas.openxmlformats.org/officeDocument/2006/relationships/worksheet" Target="/xl/worksheets/sheet3.xml" Id="R37b5017548bd44b0" /><Relationship Type="http://schemas.openxmlformats.org/officeDocument/2006/relationships/worksheet" Target="/xl/worksheets/sheet4.xml" Id="Rba8d216dbc084452" /><Relationship Type="http://schemas.openxmlformats.org/officeDocument/2006/relationships/worksheet" Target="/xl/worksheets/sheet5.xml" Id="Rf370b4e3a16f4b08" /><Relationship Type="http://schemas.openxmlformats.org/officeDocument/2006/relationships/worksheet" Target="/xl/worksheets/sheet6.xml" Id="R03491c0fa278440b" /><Relationship Type="http://schemas.openxmlformats.org/officeDocument/2006/relationships/worksheet" Target="/xl/worksheets/sheet7.xml" Id="R219ee3e3d94e4b7a" /><Relationship Type="http://schemas.openxmlformats.org/officeDocument/2006/relationships/worksheet" Target="/xl/worksheets/sheet8.xml" Id="R44560722afae4e4c" /><Relationship Type="http://schemas.openxmlformats.org/officeDocument/2006/relationships/worksheet" Target="/xl/worksheets/sheet9.xml" Id="R0f4ff1ad4d1141c1" /><Relationship Type="http://schemas.openxmlformats.org/officeDocument/2006/relationships/worksheet" Target="/xl/worksheets/sheet10.xml" Id="Rf3a6a09207094051" /><Relationship Type="http://schemas.openxmlformats.org/officeDocument/2006/relationships/worksheet" Target="/xl/worksheets/sheet11.xml" Id="R8724e8e7b0684cb0" /><Relationship Type="http://schemas.openxmlformats.org/officeDocument/2006/relationships/worksheet" Target="/xl/worksheets/sheet12.xml" Id="R0cc94dde553f47f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3edeb216cd4ca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87ff405c88d74780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7fe031058504c4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맑은 고딕"/>
                <a:ea typeface="맑은 고딕"/>
                <a:cs typeface="맑은 고딕"/>
              </a:rPr>
              <a:t>레벨별 진입 경제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맑은 고딕"/>
              <a:ea typeface="맑은 고딕"/>
              <a:cs typeface="맑은 고딕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진입비</c:v>
          </c:tx>
          <c:marker>
            <c:symbol val="none"/>
          </c:marker>
          <c:cat>
            <c:strRef>
              <c:f>'성장 곡선'!$A$5:$A$19</c:f>
              <c:strCache>
                <c:ptCount val="0"/>
              </c:strCache>
            </c:strRef>
          </c:cat>
          <c:val>
            <c:numRef>
              <c:f>'성장 곡선'!$C$5:$C$19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진입+Common 1개 최소G</c:v>
          </c:tx>
          <c:marker>
            <c:symbol val="none"/>
          </c:marker>
          <c:cat>
            <c:strRef>
              <c:f>'성장 곡선'!$A$5:$A$19</c:f>
              <c:strCache>
                <c:ptCount val="0"/>
              </c:strCache>
            </c:strRef>
          </c:cat>
          <c:val>
            <c:numRef>
              <c:f>'성장 곡선'!$E$5:$E$19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맑은 고딕"/>
                <a:ea typeface="맑은 고딕"/>
                <a:cs typeface="맑은 고딕"/>
              </a:defRPr>
            </a:pPr>
          </a:p>
        </c:txPr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맑은 고딕"/>
                <a:ea typeface="맑은 고딕"/>
                <a:cs typeface="맑은 고딕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>
              <a:latin typeface="맑은 고딕"/>
              <a:ea typeface="맑은 고딕"/>
              <a:cs typeface="맑은 고딕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맑은 고딕"/>
                <a:ea typeface="맑은 고딕"/>
                <a:cs typeface="맑은 고딕"/>
              </a:rPr>
              <a:t>시간대별 유지 목표 수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맑은 고딕"/>
              <a:ea typeface="맑은 고딕"/>
              <a:cs typeface="맑은 고딕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전체</c:v>
          </c:tx>
          <c:marker>
            <c:symbol val="none"/>
          </c:marker>
          <c:cat>
            <c:strRef>
              <c:f>'스폰 타임라인'!$O$4:$O$8</c:f>
              <c:strCache>
                <c:ptCount val="0"/>
              </c:strCache>
            </c:strRef>
          </c:cat>
          <c:val>
            <c:numRef>
              <c:f>'스폰 타임라인'!$P$4:$P$8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근거리</c:v>
          </c:tx>
          <c:marker>
            <c:symbol val="none"/>
          </c:marker>
          <c:cat>
            <c:strRef>
              <c:f>'스폰 타임라인'!$O$4:$O$8</c:f>
              <c:strCache>
                <c:ptCount val="0"/>
              </c:strCache>
            </c:strRef>
          </c:cat>
          <c:val>
            <c:numRef>
              <c:f>'스폰 타임라인'!$Q$4:$Q$8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원거리</c:v>
          </c:tx>
          <c:marker>
            <c:symbol val="none"/>
          </c:marker>
          <c:cat>
            <c:strRef>
              <c:f>'스폰 타임라인'!$O$4:$O$8</c:f>
              <c:strCache>
                <c:ptCount val="0"/>
              </c:strCache>
            </c:strRef>
          </c:cat>
          <c:val>
            <c:numRef>
              <c:f>'스폰 타임라인'!$R$4:$R$8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맑은 고딕"/>
                <a:ea typeface="맑은 고딕"/>
                <a:cs typeface="맑은 고딕"/>
              </a:defRPr>
            </a:pPr>
          </a:p>
        </c:txPr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맑은 고딕"/>
                <a:ea typeface="맑은 고딕"/>
                <a:cs typeface="맑은 고딕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00">
              <a:latin typeface="맑은 고딕"/>
              <a:ea typeface="맑은 고딕"/>
              <a:cs typeface="맑은 고딕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맑은 고딕"/>
                <a:ea typeface="맑은 고딕"/>
                <a:cs typeface="맑은 고딕"/>
              </a:rPr>
              <a:t>보스 출현 시간별 HP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맑은 고딕"/>
              <a:ea typeface="맑은 고딕"/>
              <a:cs typeface="맑은 고딕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HP</c:v>
          </c:tx>
          <c:cat>
            <c:strRef>
              <c:f>'적·보스'!$N$5:$N$8</c:f>
              <c:strCache>
                <c:ptCount val="0"/>
              </c:strCache>
            </c:strRef>
          </c:cat>
          <c:val>
            <c:numRef>
              <c:f>'적·보스'!$O$5:$O$8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맑은 고딕"/>
                <a:ea typeface="맑은 고딕"/>
                <a:cs typeface="맑은 고딕"/>
              </a:defRPr>
            </a:pPr>
          </a:p>
        </c:txPr>
        <c:crossAx val="48672768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00">
                <a:latin typeface="맑은 고딕"/>
                <a:ea typeface="맑은 고딕"/>
                <a:cs typeface="맑은 고딕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3edeb216cd4ca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14</xdr:col>
      <xdr:colOff>0</xdr:colOff>
      <xdr:row>9</xdr:row>
      <xdr:rowOff>0</xdr:rowOff>
    </xdr:from>
    <xdr:to>
      <xdr:col>22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ff405c88d7478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13</xdr:col>
      <xdr:colOff>0</xdr:colOff>
      <xdr:row>9</xdr:row>
      <xdr:rowOff>0</xdr:rowOff>
    </xdr:from>
    <xdr:to>
      <xdr:col>21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fe031058504c4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8e3f27969e34d4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7c5dd1e3bfa54e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8010b5ff45d0400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9" hidden="0" customWidth="1"/>
    <x:col min="3" max="3" width="24" hidden="0" customWidth="1"/>
    <x:col min="4" max="4" width="20" hidden="0" customWidth="1"/>
    <x:col min="5" max="5" width="27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1.600000381469727" hidden="0" customHeight="1">
      <x:c r="A1" s="3" t="str">
        <x:v>Coin Survivor 밸런스 조정안 v5</x:v>
      </x:c>
      <x:c r="B1" s="3"/>
      <x:c r="C1" s="3"/>
      <x:c r="D1" s="3"/>
      <x:c r="E1" s="3"/>
      <x:c r="F1" s="3"/>
      <x:c r="G1" s="3"/>
      <x:c r="H1" s="3"/>
    </x:row>
    <x:row r="2" ht="50" hidden="0" customHeight="1">
      <x:c r="A2" s="6" t="str">
        <x:v>114G에서 상품 네 개(40G)를 사면 74G가 남아 100G 확장을 선택할 수 없었습니다. 구매와 확장을 함께 선택할 여유를 주는 방향을 검토했습니다.</x:v>
      </x:c>
      <x:c r="B2" s="6"/>
      <x:c r="C2" s="6"/>
      <x:c r="D2" s="6"/>
      <x:c r="E2" s="6"/>
      <x:c r="F2" s="6"/>
      <x:c r="G2" s="6"/>
      <x:c r="H2" s="6"/>
    </x:row>
    <x:row r="3"/>
    <x:row r="4" ht="15" hidden="0" customHeight="1">
      <x:c r="A4" s="8" t="str">
        <x:v>비용과 성장 흐름의 조정 목표</x:v>
      </x:c>
      <x:c r="B4" s="8"/>
      <x:c r="C4" s="8"/>
      <x:c r="D4" s="8"/>
      <x:c r="E4" s="8"/>
      <x:c r="F4" s="8"/>
      <x:c r="G4" s="8"/>
      <x:c r="H4" s="8"/>
    </x:row>
    <x:row r="5" ht="15" hidden="0" customHeight="1">
      <x:c r="A5" s="15" t="str">
        <x:v>축</x:v>
      </x:c>
      <x:c r="B5" s="15" t="str">
        <x:v>목표</x:v>
      </x:c>
      <x:c r="C5" s="15" t="str">
        <x:v>금지선</x:v>
      </x:c>
      <x:c r="D5" s="15" t="str">
        <x:v>판정 근거</x:v>
      </x:c>
    </x:row>
    <x:row r="6" ht="24" hidden="0" customHeight="1">
      <x:c r="A6" s="12" t="str">
        <x:v>전투 밀도</x:v>
      </x:c>
      <x:c r="B6" s="12" t="str">
        <x:v>근거리는 시간대별 20~30% 증량</x:v>
      </x:c>
      <x:c r="C6" s="12" t="str">
        <x:v>원거리 상한 증량 금지</x:v>
      </x:c>
      <x:c r="D6" s="12" t="str">
        <x:v>스폰 타임라인 + 화면 내 피해율</x:v>
      </x:c>
    </x:row>
    <x:row r="7" ht="24" hidden="0" customHeight="1">
      <x:c r="A7" s="12" t="str">
        <x:v>생존 경제</x:v>
      </x:c>
      <x:c r="B7" s="12" t="str">
        <x:v>상점은 유료지만 진입 후 40G 이상 보존</x:v>
      </x:c>
      <x:c r="C7" s="12" t="str">
        <x:v>진입비 0G / 아이템을 못 사는 악순환</x:v>
      </x:c>
      <x:c r="D7" s="12" t="str">
        <x:v>성장 곡선 + 실제 상점 전후 골드</x:v>
      </x:c>
    </x:row>
    <x:row r="8" ht="24" hidden="0" customHeight="1">
      <x:c r="A8" s="12" t="str">
        <x:v>공격 가시성</x:v>
      </x:c>
      <x:c r="B8" s="12" t="str">
        <x:v>피해의 80% 이상이 화면 안에서 발생</x:v>
      </x:c>
      <x:c r="C8" s="12" t="str">
        <x:v>화면 밖 자동 처치가 주 플레이</x:v>
      </x:c>
      <x:c r="D8" s="12" t="str">
        <x:v>무기별 10초 DPS/화면 밖 피해</x:v>
      </x:c>
    </x:row>
    <x:row r="9" ht="24" hidden="0" customHeight="1">
      <x:c r="A9" s="12" t="str">
        <x:v>성장 체감</x:v>
      </x:c>
      <x:c r="B9" s="12" t="str">
        <x:v>몸집은 커지되 화면과 판정이 같은 상태</x:v>
      </x:c>
      <x:c r="C9" s="12" t="str">
        <x:v>상점 정지 중 외형·판정 불일치</x:v>
      </x:c>
      <x:c r="D9" s="12" t="str">
        <x:v>성장·카메라 상태 전이 체크</x:v>
      </x:c>
    </x:row>
    <x:row r="10" ht="15" hidden="0" customHeight="1">
      <x:c r="A10" s="12" t="str">
        <x:v>성능</x:v>
      </x:c>
      <x:c r="B10" s="12" t="str">
        <x:v>평균 55 FPS+, 1% low 45 FPS+</x:v>
      </x:c>
      <x:c r="C10" s="12" t="str">
        <x:v>스폰 증가로 프레임 급락</x:v>
      </x:c>
      <x:c r="D10" s="12" t="str">
        <x:v>15분 플레이 측정</x:v>
      </x:c>
    </x:row>
    <x:row r="11"/>
    <x:row r="12" ht="15" hidden="0" customHeight="1">
      <x:c r="A12" s="8" t="str">
        <x:v>2026년 7월 16일 기준 수치와 확인 항목</x:v>
      </x:c>
      <x:c r="B12" s="8"/>
      <x:c r="C12" s="8"/>
      <x:c r="D12" s="8"/>
      <x:c r="E12" s="8"/>
      <x:c r="F12" s="8"/>
      <x:c r="G12" s="8"/>
      <x:c r="H12" s="8"/>
    </x:row>
    <x:row r="13" ht="15" hidden="0" customHeight="1">
      <x:c r="A13" s="15" t="str">
        <x:v>항목</x:v>
      </x:c>
      <x:c r="B13" s="15" t="str">
        <x:v>현재 코드</x:v>
      </x:c>
      <x:c r="C13" s="15" t="str">
        <x:v>목표/상한</x:v>
      </x:c>
      <x:c r="D13" s="15" t="str">
        <x:v>현재 판정</x:v>
      </x:c>
      <x:c r="E13" s="15" t="str">
        <x:v>다음 행동</x:v>
      </x:c>
    </x:row>
    <x:row r="14" ht="24" hidden="0" customHeight="1">
      <x:c r="A14" s="12" t="str">
        <x:v>상점 진입비</x:v>
      </x:c>
      <x:c r="B14" s="12" t="str">
        <x:v>4 + L + INT(L²/2)</x:v>
      </x:c>
      <x:c r="C14" s="12" t="str">
        <x:v>0보다 크고 완만한 증가</x:v>
      </x:c>
      <x:c r="D14" s="12" t="str">
        <x:v>정적 반영</x:v>
      </x:c>
      <x:c r="E14" s="12" t="str">
        <x:v>Play Mode에서 상점 1~5회 잔여 골드 기록</x:v>
      </x:c>
    </x:row>
    <x:row r="15" ht="15" hidden="0" customHeight="1">
      <x:c r="A15" s="12" t="str">
        <x:v>기본 자석</x:v>
      </x:c>
      <x:c r="B15" s="12" t="str">
        <x:v>2.0</x:v>
      </x:c>
      <x:c r="C15" s="12" t="str">
        <x:v>이전 2.5 대비 20% 하향</x:v>
      </x:c>
      <x:c r="D15" s="12" t="str">
        <x:v>정적 반영</x:v>
      </x:c>
      <x:c r="E15" s="12" t="str">
        <x:v>패시브 없이 체감 확인</x:v>
      </x:c>
    </x:row>
    <x:row r="16" ht="15" hidden="0" customHeight="1">
      <x:c r="A16" s="12" t="str">
        <x:v>기본 카메라</x:v>
      </x:c>
      <x:c r="B16" s="12" t="str">
        <x:v>6.0</x:v>
      </x:c>
      <x:c r="C16" s="12" t="str">
        <x:v>성장 단계 6.0/6.6/7.32/8.1</x:v>
      </x:c>
      <x:c r="D16" s="12" t="str">
        <x:v>정적 반영</x:v>
      </x:c>
      <x:c r="E16" s="12" t="str">
        <x:v>상점·피격 전후 프레이밍 확인</x:v>
      </x:c>
    </x:row>
    <x:row r="17" ht="24" hidden="0" customHeight="1">
      <x:c r="A17" s="12" t="str">
        <x:v>원거리 동시 목표</x:v>
      </x:c>
      <x:c r="B17" s="12" t="str">
        <x:v>스폰 상한 유지</x:v>
      </x:c>
      <x:c r="C17" s="12" t="str">
        <x:v>스냅샷 총 6 이하</x:v>
      </x:c>
      <x:c r="D17" s="12" t="str">
        <x:v>정적 반영</x:v>
      </x:c>
      <x:c r="E17" s="12" t="str">
        <x:v>화면 밖 피해율과 투사체 가독성 확인</x:v>
      </x:c>
    </x:row>
    <x:row r="18" ht="15" hidden="0" customHeight="1">
      <x:c r="A18" s="12" t="str">
        <x:v>통합 Play Mode</x:v>
      </x:c>
      <x:c r="B18" s="12" t="str">
        <x:v>입력 전</x:v>
      </x:c>
      <x:c r="C18" s="12" t="str">
        <x:v>신규 콘솔 오류 0</x:v>
      </x:c>
      <x:c r="D18" s="17" t="str">
        <x:v>미측정</x:v>
      </x:c>
      <x:c r="E18" s="12" t="str">
        <x:v>15분 플레이 결과 입력</x:v>
      </x:c>
    </x:row>
    <x:row r="19"/>
    <x:row r="20"/>
    <x:row r="21" ht="15" hidden="0" customHeight="1">
      <x:c r="A21" s="8" t="str">
        <x:v>15분 성장 구간 목표</x:v>
      </x:c>
      <x:c r="B21" s="8"/>
      <x:c r="C21" s="8"/>
      <x:c r="D21" s="8"/>
      <x:c r="E21" s="8"/>
      <x:c r="F21" s="8"/>
      <x:c r="G21" s="8"/>
      <x:c r="H21" s="8"/>
    </x:row>
    <x:row r="22" ht="15" hidden="0" customHeight="1">
      <x:c r="A22" s="15" t="str">
        <x:v>구간</x:v>
      </x:c>
      <x:c r="B22" s="15" t="str">
        <x:v>플레이 감정</x:v>
      </x:c>
      <x:c r="C22" s="15" t="str">
        <x:v>근거리 압력</x:v>
      </x:c>
      <x:c r="D22" s="15" t="str">
        <x:v>원거리 압력</x:v>
      </x:c>
      <x:c r="E22" s="15" t="str">
        <x:v>경제 선택</x:v>
      </x:c>
      <x:c r="F22" s="15" t="str">
        <x:v>보스</x:v>
      </x:c>
      <x:c r="G22" s="15" t="str">
        <x:v>실패 신호</x:v>
      </x:c>
      <x:c r="H22" s="15" t="str">
        <x:v>조정 우선순위</x:v>
      </x:c>
    </x:row>
    <x:row r="23" ht="15" hidden="0" customHeight="1">
      <x:c r="A23" s="12" t="str">
        <x:v>0~4분</x:v>
      </x:c>
      <x:c r="B23" s="12" t="str">
        <x:v>빠른 첫 선택</x:v>
      </x:c>
      <x:c r="C23" s="12" t="str">
        <x:v>낮음→중간</x:v>
      </x:c>
      <x:c r="D23" s="12" t="str">
        <x:v>소량</x:v>
      </x:c>
      <x:c r="E23" s="12" t="str">
        <x:v>상점 2~3회</x:v>
      </x:c>
      <x:c r="F23" s="12" t="str">
        <x:v>4분</x:v>
      </x:c>
      <x:c r="G23" s="12" t="str">
        <x:v>첫 구매 전 사망</x:v>
      </x:c>
      <x:c r="H23" s="12" t="str">
        <x:v>진입비/초반 공격력</x:v>
      </x:c>
    </x:row>
    <x:row r="24" ht="15" hidden="0" customHeight="1">
      <x:c r="A24" s="12" t="str">
        <x:v>4~8분</x:v>
      </x:c>
      <x:c r="B24" s="12" t="str">
        <x:v>빌드 윤곽</x:v>
      </x:c>
      <x:c r="C24" s="12" t="str">
        <x:v>중간→높음</x:v>
      </x:c>
      <x:c r="D24" s="12" t="str">
        <x:v>상한 유지</x:v>
      </x:c>
      <x:c r="E24" s="12" t="str">
        <x:v>칸 확장 vs 합성</x:v>
      </x:c>
      <x:c r="F24" s="12" t="str">
        <x:v>8분</x:v>
      </x:c>
      <x:c r="G24" s="12" t="str">
        <x:v>원거리만 화면 점유</x:v>
      </x:c>
      <x:c r="H24" s="12" t="str">
        <x:v>근거리/원거리 비율</x:v>
      </x:c>
    </x:row>
    <x:row r="25" ht="15" hidden="0" customHeight="1">
      <x:c r="A25" s="12" t="str">
        <x:v>8~12분</x:v>
      </x:c>
      <x:c r="B25" s="12" t="str">
        <x:v>시너지 검증</x:v>
      </x:c>
      <x:c r="C25" s="12" t="str">
        <x:v>높음</x:v>
      </x:c>
      <x:c r="D25" s="12" t="str">
        <x:v>상한 유지</x:v>
      </x:c>
      <x:c r="E25" s="12" t="str">
        <x:v>고가 확장 판단</x:v>
      </x:c>
      <x:c r="F25" s="12" t="str">
        <x:v>12분</x:v>
      </x:c>
      <x:c r="G25" s="12" t="str">
        <x:v>경제가 선택을 봉쇄</x:v>
      </x:c>
      <x:c r="H25" s="12" t="str">
        <x:v>드랍/아이템/확장비</x:v>
      </x:c>
    </x:row>
    <x:row r="26" ht="15" hidden="0" customHeight="1">
      <x:c r="A26" s="12" t="str">
        <x:v>12~15분</x:v>
      </x:c>
      <x:c r="B26" s="12" t="str">
        <x:v>완성 빌드 압박</x:v>
      </x:c>
      <x:c r="C26" s="12" t="str">
        <x:v>최고</x:v>
      </x:c>
      <x:c r="D26" s="12" t="str">
        <x:v>상한 유지</x:v>
      </x:c>
      <x:c r="E26" s="12" t="str">
        <x:v>마지막 합성</x:v>
      </x:c>
      <x:c r="F26" s="12" t="str">
        <x:v>15분</x:v>
      </x:c>
      <x:c r="G26" s="12" t="str">
        <x:v>화면 밖 자동 처치</x:v>
      </x:c>
      <x:c r="H26" s="12" t="str">
        <x:v>사거리/카메라/보스 HP</x:v>
      </x:c>
    </x:row>
    <x:row r="27"/>
  </x:sheetData>
  <x:mergeCells>
    <x:mergeCell ref="A1:H1"/>
    <x:mergeCell ref="A2:H2"/>
    <x:mergeCell ref="A4:H4"/>
    <x:mergeCell ref="A12:H12"/>
    <x:mergeCell ref="A21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2" hidden="0" customWidth="1"/>
    <x:col min="4" max="4" width="14" hidden="0" customWidth="1"/>
    <x:col min="5" max="5" width="34" hidden="0" customWidth="1"/>
    <x:col min="6" max="6" width="15" hidden="0" customWidth="1"/>
  </x:cols>
  <x:sheetData>
    <x:row r="1" ht="21.600000381469727" hidden="0" customHeight="1">
      <x:c r="A1" s="3" t="str">
        <x:v>현재 코드 기준</x:v>
      </x:c>
      <x:c r="B1" s="3"/>
      <x:c r="C1" s="3"/>
      <x:c r="D1" s="3"/>
      <x:c r="E1" s="3"/>
      <x:c r="F1" s="3"/>
    </x:row>
    <x:row r="2" ht="15" hidden="0" customHeight="1">
      <x:c r="A2" s="6" t="str">
        <x:v>2026-07-16 정적 반영값. 노란색은 Play Mode에서 입력할 값입니다.</x:v>
      </x:c>
      <x:c r="B2" s="6"/>
      <x:c r="C2" s="6"/>
      <x:c r="D2" s="6"/>
      <x:c r="E2" s="6"/>
      <x:c r="F2" s="6"/>
    </x:row>
    <x:row r="3"/>
    <x:row r="4" ht="15" hidden="0" customHeight="1">
      <x:c r="A4" s="15" t="str">
        <x:v>분류</x:v>
      </x:c>
      <x:c r="B4" s="15" t="str">
        <x:v>키</x:v>
      </x:c>
      <x:c r="C4" s="15" t="str">
        <x:v>현재 값</x:v>
      </x:c>
      <x:c r="D4" s="15" t="str">
        <x:v>단위</x:v>
      </x:c>
      <x:c r="E4" s="15" t="str">
        <x:v>출처</x:v>
      </x:c>
      <x:c r="F4" s="15" t="str">
        <x:v>검증 상태</x:v>
      </x:c>
    </x:row>
    <x:row r="5" ht="15" hidden="0" customHeight="1">
      <x:c r="A5" s="12" t="str">
        <x:v>캐릭터</x:v>
      </x:c>
      <x:c r="B5" s="12" t="str">
        <x:v>시작 골드</x:v>
      </x:c>
      <x:c r="C5" s="12" t="n">
        <x:v>100</x:v>
      </x:c>
      <x:c r="D5" s="12" t="str">
        <x:v>G</x:v>
      </x:c>
      <x:c r="E5" s="12" t="str">
        <x:v>CharacterData.csv</x:v>
      </x:c>
      <x:c r="F5" s="12" t="str">
        <x:v>정적 확인</x:v>
      </x:c>
    </x:row>
    <x:row r="6" ht="15" hidden="0" customHeight="1">
      <x:c r="A6" s="12" t="str">
        <x:v>캐릭터</x:v>
      </x:c>
      <x:c r="B6" s="12" t="str">
        <x:v>골드 한도</x:v>
      </x:c>
      <x:c r="C6" s="12" t="n">
        <x:v>1000</x:v>
      </x:c>
      <x:c r="D6" s="12" t="str">
        <x:v>G</x:v>
      </x:c>
      <x:c r="E6" s="12" t="str">
        <x:v>CharacterData.csv</x:v>
      </x:c>
      <x:c r="F6" s="12" t="str">
        <x:v>정적 확인</x:v>
      </x:c>
    </x:row>
    <x:row r="7" ht="15" hidden="0" customHeight="1">
      <x:c r="A7" s="12" t="str">
        <x:v>캐릭터</x:v>
      </x:c>
      <x:c r="B7" s="12" t="str">
        <x:v>기본 공격</x:v>
      </x:c>
      <x:c r="C7" s="12" t="n">
        <x:v>10</x:v>
      </x:c>
      <x:c r="D7" s="12" t="str">
        <x:v>피해</x:v>
      </x:c>
      <x:c r="E7" s="12" t="str">
        <x:v>CharacterData.csv</x:v>
      </x:c>
      <x:c r="F7" s="12" t="str">
        <x:v>정적 확인</x:v>
      </x:c>
    </x:row>
    <x:row r="8" ht="15" hidden="0" customHeight="1">
      <x:c r="A8" s="12" t="str">
        <x:v>캐릭터</x:v>
      </x:c>
      <x:c r="B8" s="12" t="str">
        <x:v>기본 공격 사거리</x:v>
      </x:c>
      <x:c r="C8" s="12" t="n">
        <x:v>6</x:v>
      </x:c>
      <x:c r="D8" s="12" t="str">
        <x:v>월드</x:v>
      </x:c>
      <x:c r="E8" s="12" t="str">
        <x:v>CharacterData.csv</x:v>
      </x:c>
      <x:c r="F8" s="12" t="str">
        <x:v>정적 확인</x:v>
      </x:c>
    </x:row>
    <x:row r="9" ht="15" hidden="0" customHeight="1">
      <x:c r="A9" s="12" t="str">
        <x:v>캐릭터</x:v>
      </x:c>
      <x:c r="B9" s="12" t="str">
        <x:v>기본 자석</x:v>
      </x:c>
      <x:c r="C9" s="12" t="n">
        <x:v>2</x:v>
      </x:c>
      <x:c r="D9" s="12" t="str">
        <x:v>월드</x:v>
      </x:c>
      <x:c r="E9" s="12" t="str">
        <x:v>CharacterData.csv/Player.prefab</x:v>
      </x:c>
      <x:c r="F9" s="12" t="str">
        <x:v>정적 확인</x:v>
      </x:c>
    </x:row>
    <x:row r="10" ht="15" hidden="0" customHeight="1">
      <x:c r="A10" s="12" t="str">
        <x:v>성장</x:v>
      </x:c>
      <x:c r="B10" s="12" t="str">
        <x:v>상점 진행 단위</x:v>
      </x:c>
      <x:c r="C10" s="12" t="n">
        <x:v>50</x:v>
      </x:c>
      <x:c r="D10" s="12" t="str">
        <x:v>누적 획득G</x:v>
      </x:c>
      <x:c r="E10" s="12" t="str">
        <x:v>PlayerLevelManager</x:v>
      </x:c>
      <x:c r="F10" s="12" t="str">
        <x:v>정적 확인</x:v>
      </x:c>
    </x:row>
    <x:row r="11" ht="15" hidden="0" customHeight="1">
      <x:c r="A11" s="12" t="str">
        <x:v>성장</x:v>
      </x:c>
      <x:c r="B11" s="12" t="str">
        <x:v>상점 진입 기본값</x:v>
      </x:c>
      <x:c r="C11" s="12" t="n">
        <x:v>4</x:v>
      </x:c>
      <x:c r="D11" s="12" t="str">
        <x:v>G</x:v>
      </x:c>
      <x:c r="E11" s="12" t="str">
        <x:v>PlayerLevelManager</x:v>
      </x:c>
      <x:c r="F11" s="12" t="str">
        <x:v>정적 확인</x:v>
      </x:c>
    </x:row>
    <x:row r="12" ht="15" hidden="0" customHeight="1">
      <x:c r="A12" s="12" t="str">
        <x:v>성장</x:v>
      </x:c>
      <x:c r="B12" s="12" t="str">
        <x:v>최소 생존 골드</x:v>
      </x:c>
      <x:c r="C12" s="12" t="n">
        <x:v>40</x:v>
      </x:c>
      <x:c r="D12" s="12" t="str">
        <x:v>G</x:v>
      </x:c>
      <x:c r="E12" s="12" t="str">
        <x:v>PlayerLevelManager</x:v>
      </x:c>
      <x:c r="F12" s="12" t="str">
        <x:v>정적 확인</x:v>
      </x:c>
    </x:row>
    <x:row r="13" ht="15" hidden="0" customHeight="1">
      <x:c r="A13" s="12" t="str">
        <x:v>성장</x:v>
      </x:c>
      <x:c r="B13" s="12" t="str">
        <x:v>쿨다운 감소 상한</x:v>
      </x:c>
      <x:c r="C13" s="18" t="n">
        <x:v>0.75</x:v>
      </x:c>
      <x:c r="D13" s="12" t="str">
        <x:v>%</x:v>
      </x:c>
      <x:c r="E13" s="12" t="str">
        <x:v>PlayerStatManager</x:v>
      </x:c>
      <x:c r="F13" s="12" t="str">
        <x:v>정적 확인</x:v>
      </x:c>
    </x:row>
    <x:row r="14" ht="15" hidden="0" customHeight="1">
      <x:c r="A14" s="12" t="str">
        <x:v>카메라</x:v>
      </x:c>
      <x:c r="B14" s="12" t="str">
        <x:v>기본 Orthographic Size</x:v>
      </x:c>
      <x:c r="C14" s="12" t="n">
        <x:v>6</x:v>
      </x:c>
      <x:c r="D14" s="12" t="str">
        <x:v>size</x:v>
      </x:c>
      <x:c r="E14" s="12" t="str">
        <x:v>SampleScene.unity</x:v>
      </x:c>
      <x:c r="F14" s="12" t="str">
        <x:v>정적 확인</x:v>
      </x:c>
    </x:row>
    <x:row r="15" ht="15" hidden="0" customHeight="1">
      <x:c r="A15" s="12" t="str">
        <x:v>카메라</x:v>
      </x:c>
      <x:c r="B15" s="12" t="str">
        <x:v>무기 가시 사거리 계수</x:v>
      </x:c>
      <x:c r="C15" s="12" t="n">
        <x:v>1.15</x:v>
      </x:c>
      <x:c r="D15" s="12" t="str">
        <x:v>배</x:v>
      </x:c>
      <x:c r="E15" s="12" t="str">
        <x:v>PlayerStatManager</x:v>
      </x:c>
      <x:c r="F15" s="12" t="str">
        <x:v>정적 확인</x:v>
      </x:c>
    </x:row>
    <x:row r="16" ht="15" hidden="0" customHeight="1">
      <x:c r="A16" s="12" t="str">
        <x:v>인벤토리</x:v>
      </x:c>
      <x:c r="B16" s="12" t="str">
        <x:v>확장 비용</x:v>
      </x:c>
      <x:c r="C16" s="12" t="str">
        <x:v>5/10/20/45/90/180/360</x:v>
      </x:c>
      <x:c r="D16" s="12" t="str">
        <x:v>G</x:v>
      </x:c>
      <x:c r="E16" s="12" t="str">
        <x:v>InventoryRuntimeService/Prefab</x:v>
      </x:c>
      <x:c r="F16" s="12" t="str">
        <x:v>정적 확인</x:v>
      </x:c>
    </x:row>
    <x:row r="17" ht="15" hidden="0" customHeight="1">
      <x:c r="A17" s="12" t="str">
        <x:v>상점</x:v>
      </x:c>
      <x:c r="B17" s="12" t="str">
        <x:v>리롤 비용</x:v>
      </x:c>
      <x:c r="C17" s="12" t="n">
        <x:v>3</x:v>
      </x:c>
      <x:c r="D17" s="12" t="str">
        <x:v>G</x:v>
      </x:c>
      <x:c r="E17" s="12" t="str">
        <x:v>ShopSlotController/Prefab</x:v>
      </x:c>
      <x:c r="F17" s="12" t="str">
        <x:v>정적 확인</x:v>
      </x:c>
    </x:row>
    <x:row r="18" ht="15" hidden="0" customHeight="1">
      <x:c r="A18" s="12" t="str">
        <x:v>패시브</x:v>
      </x:c>
      <x:c r="B18" s="12" t="str">
        <x:v>동일 패시브 최대</x:v>
      </x:c>
      <x:c r="C18" s="12" t="n">
        <x:v>4</x:v>
      </x:c>
      <x:c r="D18" s="12" t="str">
        <x:v>Common 환산</x:v>
      </x:c>
      <x:c r="E18" s="12" t="str">
        <x:v>InventoryRuntimeService</x:v>
      </x:c>
      <x:c r="F18" s="12" t="str">
        <x:v>정적 확인</x:v>
      </x:c>
    </x:row>
    <x:row r="19" ht="15" hidden="0" customHeight="1">
      <x:c r="A19" s="12" t="str">
        <x:v>성능</x:v>
      </x:c>
      <x:c r="B19" s="12" t="str">
        <x:v>평균 FPS</x:v>
      </x:c>
      <x:c r="C19" s="16"/>
      <x:c r="D19" s="12" t="str">
        <x:v>FPS</x:v>
      </x:c>
      <x:c r="E19" s="12" t="str">
        <x:v>Play Mode</x:v>
      </x:c>
      <x:c r="F19" s="12" t="str">
        <x:v>미측정</x:v>
      </x:c>
    </x:row>
    <x:row r="20" ht="15" hidden="0" customHeight="1">
      <x:c r="A20" s="12" t="str">
        <x:v>성능</x:v>
      </x:c>
      <x:c r="B20" s="12" t="str">
        <x:v>1% low</x:v>
      </x:c>
      <x:c r="C20" s="16"/>
      <x:c r="D20" s="12" t="str">
        <x:v>FPS</x:v>
      </x:c>
      <x:c r="E20" s="12" t="str">
        <x:v>Play Mode</x:v>
      </x:c>
      <x:c r="F20" s="12" t="str">
        <x:v>미측정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3" hidden="0" customWidth="1"/>
    <x:col min="8" max="8" width="16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21.600000381469727" hidden="0" customHeight="1">
      <x:c r="A1" s="3" t="str">
        <x:v>상점 진입·성장 곡선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6" t="str">
        <x:v>진입은 무료가 아니며, 진행 조건과 생존 골드 조건을 동시에 만족해야 합니다.</x:v>
      </x:c>
      <x:c r="B2" s="6"/>
      <x:c r="C2" s="6"/>
      <x:c r="D2" s="6"/>
      <x:c r="E2" s="6"/>
      <x:c r="F2" s="6"/>
      <x:c r="G2" s="6"/>
      <x:c r="H2" s="6"/>
    </x:row>
    <x:row r="3"/>
    <x:row r="4" ht="24" hidden="0" customHeight="1">
      <x:c r="A4" s="15" t="str">
        <x:v>현재 레벨 L</x:v>
      </x:c>
      <x:c r="B4" s="15" t="str">
        <x:v>다음 상점 누적 획득 목표</x:v>
      </x:c>
      <x:c r="C4" s="15" t="str">
        <x:v>진입비</x:v>
      </x:c>
      <x:c r="D4" s="15" t="str">
        <x:v>진입 최소 보유G</x:v>
      </x:c>
      <x:c r="E4" s="15" t="str">
        <x:v>진입+Common 1개 최소G</x:v>
      </x:c>
      <x:c r="F4" s="15" t="str">
        <x:v>진입 후 생존 여유</x:v>
      </x:c>
      <x:c r="G4" s="15" t="str">
        <x:v>성장 구간</x:v>
      </x:c>
      <x:c r="H4" s="15" t="str">
        <x:v>설계 판정</x:v>
      </x:c>
    </x:row>
    <x:row r="5" ht="15" hidden="0" customHeight="1">
      <x:c r="A5" s="12" t="n">
        <x:v>1</x:v>
      </x:c>
      <x:c r="B5" s="19" t="n">
        <x:f>50*A5*(A5+1)/2</x:f>
        <x:v>50</x:v>
      </x:c>
      <x:c r="C5" s="19" t="n">
        <x:f>4+A5+INT(A5*A5/2)</x:f>
        <x:v>5</x:v>
      </x:c>
      <x:c r="D5" s="19" t="n">
        <x:f>C5+40</x:f>
        <x:v>45</x:v>
      </x:c>
      <x:c r="E5" s="19" t="n">
        <x:f>C5+40+10</x:f>
        <x:v>55</x:v>
      </x:c>
      <x:c r="F5" s="19" t="n">
        <x:f>D5-C5</x:f>
        <x:v>40</x:v>
      </x:c>
      <x:c r="G5" s="12" t="str">
        <x:v>초반</x:v>
      </x:c>
      <x:c r="H5" s="12" t="str">
        <x:f>IF(F5&gt;=40,"생존선 유지","위험")</x:f>
        <x:v>생존선 유지</x:v>
      </x:c>
    </x:row>
    <x:row r="6" ht="15" hidden="0" customHeight="1">
      <x:c r="A6" s="12" t="n">
        <x:v>2</x:v>
      </x:c>
      <x:c r="B6" s="19" t="n">
        <x:f>50*A6*(A6+1)/2</x:f>
        <x:v>150</x:v>
      </x:c>
      <x:c r="C6" s="19" t="n">
        <x:f>4+A6+INT(A6*A6/2)</x:f>
        <x:v>8</x:v>
      </x:c>
      <x:c r="D6" s="19" t="n">
        <x:f>C6+40</x:f>
        <x:v>48</x:v>
      </x:c>
      <x:c r="E6" s="19" t="n">
        <x:f>C6+40+10</x:f>
        <x:v>58</x:v>
      </x:c>
      <x:c r="F6" s="19" t="n">
        <x:f>D6-C6</x:f>
        <x:v>40</x:v>
      </x:c>
      <x:c r="G6" s="12" t="str">
        <x:v>초반</x:v>
      </x:c>
      <x:c r="H6" s="12" t="str">
        <x:f>IF(F6&gt;=40,"생존선 유지","위험")</x:f>
        <x:v>생존선 유지</x:v>
      </x:c>
    </x:row>
    <x:row r="7" ht="15" hidden="0" customHeight="1">
      <x:c r="A7" s="12" t="n">
        <x:v>3</x:v>
      </x:c>
      <x:c r="B7" s="19" t="n">
        <x:f>50*A7*(A7+1)/2</x:f>
        <x:v>300</x:v>
      </x:c>
      <x:c r="C7" s="19" t="n">
        <x:f>4+A7+INT(A7*A7/2)</x:f>
        <x:v>11</x:v>
      </x:c>
      <x:c r="D7" s="19" t="n">
        <x:f>C7+40</x:f>
        <x:v>51</x:v>
      </x:c>
      <x:c r="E7" s="19" t="n">
        <x:f>C7+40+10</x:f>
        <x:v>61</x:v>
      </x:c>
      <x:c r="F7" s="19" t="n">
        <x:f>D7-C7</x:f>
        <x:v>40</x:v>
      </x:c>
      <x:c r="G7" s="12" t="str">
        <x:v>초반</x:v>
      </x:c>
      <x:c r="H7" s="12" t="str">
        <x:f>IF(F7&gt;=40,"생존선 유지","위험")</x:f>
        <x:v>생존선 유지</x:v>
      </x:c>
    </x:row>
    <x:row r="8" ht="15" hidden="0" customHeight="1">
      <x:c r="A8" s="12" t="n">
        <x:v>4</x:v>
      </x:c>
      <x:c r="B8" s="19" t="n">
        <x:f>50*A8*(A8+1)/2</x:f>
        <x:v>500</x:v>
      </x:c>
      <x:c r="C8" s="19" t="n">
        <x:f>4+A8+INT(A8*A8/2)</x:f>
        <x:v>16</x:v>
      </x:c>
      <x:c r="D8" s="19" t="n">
        <x:f>C8+40</x:f>
        <x:v>56</x:v>
      </x:c>
      <x:c r="E8" s="19" t="n">
        <x:f>C8+40+10</x:f>
        <x:v>66</x:v>
      </x:c>
      <x:c r="F8" s="19" t="n">
        <x:f>D8-C8</x:f>
        <x:v>40</x:v>
      </x:c>
      <x:c r="G8" s="12" t="str">
        <x:v>초반</x:v>
      </x:c>
      <x:c r="H8" s="12" t="str">
        <x:f>IF(F8&gt;=40,"생존선 유지","위험")</x:f>
        <x:v>생존선 유지</x:v>
      </x:c>
    </x:row>
    <x:row r="9" ht="15" hidden="0" customHeight="1">
      <x:c r="A9" s="12" t="n">
        <x:v>5</x:v>
      </x:c>
      <x:c r="B9" s="19" t="n">
        <x:f>50*A9*(A9+1)/2</x:f>
        <x:v>750</x:v>
      </x:c>
      <x:c r="C9" s="19" t="n">
        <x:f>4+A9+INT(A9*A9/2)</x:f>
        <x:v>21</x:v>
      </x:c>
      <x:c r="D9" s="19" t="n">
        <x:f>C9+40</x:f>
        <x:v>61</x:v>
      </x:c>
      <x:c r="E9" s="19" t="n">
        <x:f>C9+40+10</x:f>
        <x:v>71</x:v>
      </x:c>
      <x:c r="F9" s="19" t="n">
        <x:f>D9-C9</x:f>
        <x:v>40</x:v>
      </x:c>
      <x:c r="G9" s="12" t="str">
        <x:v>중반</x:v>
      </x:c>
      <x:c r="H9" s="12" t="str">
        <x:f>IF(F9&gt;=40,"생존선 유지","위험")</x:f>
        <x:v>생존선 유지</x:v>
      </x:c>
    </x:row>
    <x:row r="10" ht="15" hidden="0" customHeight="1">
      <x:c r="A10" s="12" t="n">
        <x:v>6</x:v>
      </x:c>
      <x:c r="B10" s="19" t="n">
        <x:f>50*A10*(A10+1)/2</x:f>
        <x:v>1050</x:v>
      </x:c>
      <x:c r="C10" s="19" t="n">
        <x:f>4+A10+INT(A10*A10/2)</x:f>
        <x:v>28</x:v>
      </x:c>
      <x:c r="D10" s="19" t="n">
        <x:f>C10+40</x:f>
        <x:v>68</x:v>
      </x:c>
      <x:c r="E10" s="19" t="n">
        <x:f>C10+40+10</x:f>
        <x:v>78</x:v>
      </x:c>
      <x:c r="F10" s="19" t="n">
        <x:f>D10-C10</x:f>
        <x:v>40</x:v>
      </x:c>
      <x:c r="G10" s="12" t="str">
        <x:v>중반</x:v>
      </x:c>
      <x:c r="H10" s="12" t="str">
        <x:f>IF(F10&gt;=40,"생존선 유지","위험")</x:f>
        <x:v>생존선 유지</x:v>
      </x:c>
    </x:row>
    <x:row r="11" ht="15" hidden="0" customHeight="1">
      <x:c r="A11" s="12" t="n">
        <x:v>7</x:v>
      </x:c>
      <x:c r="B11" s="19" t="n">
        <x:f>50*A11*(A11+1)/2</x:f>
        <x:v>1400</x:v>
      </x:c>
      <x:c r="C11" s="19" t="n">
        <x:f>4+A11+INT(A11*A11/2)</x:f>
        <x:v>35</x:v>
      </x:c>
      <x:c r="D11" s="19" t="n">
        <x:f>C11+40</x:f>
        <x:v>75</x:v>
      </x:c>
      <x:c r="E11" s="19" t="n">
        <x:f>C11+40+10</x:f>
        <x:v>85</x:v>
      </x:c>
      <x:c r="F11" s="19" t="n">
        <x:f>D11-C11</x:f>
        <x:v>40</x:v>
      </x:c>
      <x:c r="G11" s="12" t="str">
        <x:v>중반</x:v>
      </x:c>
      <x:c r="H11" s="12" t="str">
        <x:f>IF(F11&gt;=40,"생존선 유지","위험")</x:f>
        <x:v>생존선 유지</x:v>
      </x:c>
    </x:row>
    <x:row r="12" ht="15" hidden="0" customHeight="1">
      <x:c r="A12" s="12" t="n">
        <x:v>8</x:v>
      </x:c>
      <x:c r="B12" s="19" t="n">
        <x:f>50*A12*(A12+1)/2</x:f>
        <x:v>1800</x:v>
      </x:c>
      <x:c r="C12" s="19" t="n">
        <x:f>4+A12+INT(A12*A12/2)</x:f>
        <x:v>44</x:v>
      </x:c>
      <x:c r="D12" s="19" t="n">
        <x:f>C12+40</x:f>
        <x:v>84</x:v>
      </x:c>
      <x:c r="E12" s="19" t="n">
        <x:f>C12+40+10</x:f>
        <x:v>94</x:v>
      </x:c>
      <x:c r="F12" s="19" t="n">
        <x:f>D12-C12</x:f>
        <x:v>40</x:v>
      </x:c>
      <x:c r="G12" s="12" t="str">
        <x:v>중반</x:v>
      </x:c>
      <x:c r="H12" s="12" t="str">
        <x:f>IF(F12&gt;=40,"생존선 유지","위험")</x:f>
        <x:v>생존선 유지</x:v>
      </x:c>
    </x:row>
    <x:row r="13" ht="15" hidden="0" customHeight="1">
      <x:c r="A13" s="12" t="n">
        <x:v>9</x:v>
      </x:c>
      <x:c r="B13" s="19" t="n">
        <x:f>50*A13*(A13+1)/2</x:f>
        <x:v>2250</x:v>
      </x:c>
      <x:c r="C13" s="19" t="n">
        <x:f>4+A13+INT(A13*A13/2)</x:f>
        <x:v>53</x:v>
      </x:c>
      <x:c r="D13" s="19" t="n">
        <x:f>C13+40</x:f>
        <x:v>93</x:v>
      </x:c>
      <x:c r="E13" s="19" t="n">
        <x:f>C13+40+10</x:f>
        <x:v>103</x:v>
      </x:c>
      <x:c r="F13" s="19" t="n">
        <x:f>D13-C13</x:f>
        <x:v>40</x:v>
      </x:c>
      <x:c r="G13" s="12" t="str">
        <x:v>후반</x:v>
      </x:c>
      <x:c r="H13" s="12" t="str">
        <x:f>IF(F13&gt;=40,"생존선 유지","위험")</x:f>
        <x:v>생존선 유지</x:v>
      </x:c>
    </x:row>
    <x:row r="14" ht="15" hidden="0" customHeight="1">
      <x:c r="A14" s="12" t="n">
        <x:v>10</x:v>
      </x:c>
      <x:c r="B14" s="19" t="n">
        <x:f>50*A14*(A14+1)/2</x:f>
        <x:v>2750</x:v>
      </x:c>
      <x:c r="C14" s="19" t="n">
        <x:f>4+A14+INT(A14*A14/2)</x:f>
        <x:v>64</x:v>
      </x:c>
      <x:c r="D14" s="19" t="n">
        <x:f>C14+40</x:f>
        <x:v>104</x:v>
      </x:c>
      <x:c r="E14" s="19" t="n">
        <x:f>C14+40+10</x:f>
        <x:v>114</x:v>
      </x:c>
      <x:c r="F14" s="19" t="n">
        <x:f>D14-C14</x:f>
        <x:v>40</x:v>
      </x:c>
      <x:c r="G14" s="12" t="str">
        <x:v>후반</x:v>
      </x:c>
      <x:c r="H14" s="12" t="str">
        <x:f>IF(F14&gt;=40,"생존선 유지","위험")</x:f>
        <x:v>생존선 유지</x:v>
      </x:c>
    </x:row>
    <x:row r="15" ht="15" hidden="0" customHeight="1">
      <x:c r="A15" s="12" t="n">
        <x:v>11</x:v>
      </x:c>
      <x:c r="B15" s="19" t="n">
        <x:f>50*A15*(A15+1)/2</x:f>
        <x:v>3300</x:v>
      </x:c>
      <x:c r="C15" s="19" t="n">
        <x:f>4+A15+INT(A15*A15/2)</x:f>
        <x:v>75</x:v>
      </x:c>
      <x:c r="D15" s="19" t="n">
        <x:f>C15+40</x:f>
        <x:v>115</x:v>
      </x:c>
      <x:c r="E15" s="19" t="n">
        <x:f>C15+40+10</x:f>
        <x:v>125</x:v>
      </x:c>
      <x:c r="F15" s="19" t="n">
        <x:f>D15-C15</x:f>
        <x:v>40</x:v>
      </x:c>
      <x:c r="G15" s="12" t="str">
        <x:v>후반</x:v>
      </x:c>
      <x:c r="H15" s="12" t="str">
        <x:f>IF(F15&gt;=40,"생존선 유지","위험")</x:f>
        <x:v>생존선 유지</x:v>
      </x:c>
    </x:row>
    <x:row r="16" ht="15" hidden="0" customHeight="1">
      <x:c r="A16" s="12" t="n">
        <x:v>12</x:v>
      </x:c>
      <x:c r="B16" s="19" t="n">
        <x:f>50*A16*(A16+1)/2</x:f>
        <x:v>3900</x:v>
      </x:c>
      <x:c r="C16" s="19" t="n">
        <x:f>4+A16+INT(A16*A16/2)</x:f>
        <x:v>88</x:v>
      </x:c>
      <x:c r="D16" s="19" t="n">
        <x:f>C16+40</x:f>
        <x:v>128</x:v>
      </x:c>
      <x:c r="E16" s="19" t="n">
        <x:f>C16+40+10</x:f>
        <x:v>138</x:v>
      </x:c>
      <x:c r="F16" s="19" t="n">
        <x:f>D16-C16</x:f>
        <x:v>40</x:v>
      </x:c>
      <x:c r="G16" s="12" t="str">
        <x:v>후반</x:v>
      </x:c>
      <x:c r="H16" s="12" t="str">
        <x:f>IF(F16&gt;=40,"생존선 유지","위험")</x:f>
        <x:v>생존선 유지</x:v>
      </x:c>
    </x:row>
    <x:row r="17" ht="15" hidden="0" customHeight="1">
      <x:c r="A17" s="12" t="n">
        <x:v>13</x:v>
      </x:c>
      <x:c r="B17" s="19" t="n">
        <x:f>50*A17*(A17+1)/2</x:f>
        <x:v>4550</x:v>
      </x:c>
      <x:c r="C17" s="19" t="n">
        <x:f>4+A17+INT(A17*A17/2)</x:f>
        <x:v>101</x:v>
      </x:c>
      <x:c r="D17" s="19" t="n">
        <x:f>C17+40</x:f>
        <x:v>141</x:v>
      </x:c>
      <x:c r="E17" s="19" t="n">
        <x:f>C17+40+10</x:f>
        <x:v>151</x:v>
      </x:c>
      <x:c r="F17" s="19" t="n">
        <x:f>D17-C17</x:f>
        <x:v>40</x:v>
      </x:c>
      <x:c r="G17" s="12" t="str">
        <x:v>완성</x:v>
      </x:c>
      <x:c r="H17" s="12" t="str">
        <x:f>IF(F17&gt;=40,"생존선 유지","위험")</x:f>
        <x:v>생존선 유지</x:v>
      </x:c>
    </x:row>
    <x:row r="18" ht="15" hidden="0" customHeight="1">
      <x:c r="A18" s="12" t="n">
        <x:v>14</x:v>
      </x:c>
      <x:c r="B18" s="19" t="n">
        <x:f>50*A18*(A18+1)/2</x:f>
        <x:v>5250</x:v>
      </x:c>
      <x:c r="C18" s="19" t="n">
        <x:f>4+A18+INT(A18*A18/2)</x:f>
        <x:v>116</x:v>
      </x:c>
      <x:c r="D18" s="19" t="n">
        <x:f>C18+40</x:f>
        <x:v>156</x:v>
      </x:c>
      <x:c r="E18" s="19" t="n">
        <x:f>C18+40+10</x:f>
        <x:v>166</x:v>
      </x:c>
      <x:c r="F18" s="19" t="n">
        <x:f>D18-C18</x:f>
        <x:v>40</x:v>
      </x:c>
      <x:c r="G18" s="12" t="str">
        <x:v>완성</x:v>
      </x:c>
      <x:c r="H18" s="12" t="str">
        <x:f>IF(F18&gt;=40,"생존선 유지","위험")</x:f>
        <x:v>생존선 유지</x:v>
      </x:c>
    </x:row>
    <x:row r="19" ht="15" hidden="0" customHeight="1">
      <x:c r="A19" s="12" t="n">
        <x:v>15</x:v>
      </x:c>
      <x:c r="B19" s="19" t="n">
        <x:f>50*A19*(A19+1)/2</x:f>
        <x:v>6000</x:v>
      </x:c>
      <x:c r="C19" s="19" t="n">
        <x:f>4+A19+INT(A19*A19/2)</x:f>
        <x:v>131</x:v>
      </x:c>
      <x:c r="D19" s="19" t="n">
        <x:f>C19+40</x:f>
        <x:v>171</x:v>
      </x:c>
      <x:c r="E19" s="19" t="n">
        <x:f>C19+40+10</x:f>
        <x:v>181</x:v>
      </x:c>
      <x:c r="F19" s="19" t="n">
        <x:f>D19-C19</x:f>
        <x:v>40</x:v>
      </x:c>
      <x:c r="G19" s="12" t="str">
        <x:v>완성</x:v>
      </x:c>
      <x:c r="H19" s="12" t="str">
        <x:f>IF(F19&gt;=40,"생존선 유지","위험")</x:f>
        <x:v>생존선 유지</x:v>
      </x:c>
    </x:row>
    <x:row r="20"/>
  </x:sheetData>
  <x:mergeCells>
    <x:mergeCell ref="A1:H1"/>
    <x:mergeCell ref="A2:H2"/>
  </x:mergeCells>
  <x:conditionalFormatting sqref="H5:H19">
    <x:cfRule type="containsText" dxfId="0" priority="1" operator="containsText" text="위험"/>
  </x:conditionalFormatting>
  <x:pageMargins left="0.7" right="0.7" top="0.75" bottom="0.75" header="0.3" footer="0.3"/>
  <x:drawing xmlns:r="http://schemas.openxmlformats.org/officeDocument/2006/relationships" r:id="Rb8e3f27969e34d4e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1" hidden="0" customWidth="1"/>
    <x:col min="4" max="4" width="9" hidden="0" customWidth="1"/>
    <x:col min="5" max="5" width="11" hidden="0" customWidth="1"/>
    <x:col min="6" max="6" width="13" hidden="0" customWidth="1"/>
    <x:col min="7" max="7" width="13" hidden="0" customWidth="1"/>
    <x:col min="8" max="8" width="13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3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21.600000381469727" hidden="0" customHeight="1">
      <x:c r="A1" s="3" t="str">
        <x:v>스폰 타임라인과 화면 밀도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15" hidden="0" customHeight="1">
      <x:c r="A2" s="6" t="str">
        <x:v>baseCount는 초당 생성량이 아니라 유지 목표 수입니다. 근거리만 증량하고 원거리 상한은 유지했습니다.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3" ht="15" hidden="0" customHeight="1">
      <x:c r="A3" s="15" t="str">
        <x:v>시작초</x:v>
      </x:c>
      <x:c r="B3" s="15" t="str">
        <x:v>종료초</x:v>
      </x:c>
      <x:c r="C3" s="15" t="str">
        <x:v>보충간격</x:v>
      </x:c>
      <x:c r="D3" s="15" t="str">
        <x:v>적 ID</x:v>
      </x:c>
      <x:c r="E3" s="15" t="str">
        <x:v>역할</x:v>
      </x:c>
      <x:c r="F3" s="15" t="str">
        <x:v>기본 목표</x:v>
      </x:c>
      <x:c r="G3" s="15" t="str">
        <x:v>분당 목표 증가</x:v>
      </x:c>
      <x:c r="H3" s="15" t="str">
        <x:v>틱당 보충 상한</x:v>
      </x:c>
      <x:c r="I3" s="15" t="n">
        <x:v>60</x:v>
      </x:c>
      <x:c r="J3" s="15" t="n">
        <x:v>180</x:v>
      </x:c>
      <x:c r="K3" s="15" t="n">
        <x:v>360</x:v>
      </x:c>
      <x:c r="L3" s="15" t="n">
        <x:v>600</x:v>
      </x:c>
      <x:c r="M3" s="15" t="n">
        <x:v>900</x:v>
      </x:c>
      <x:c r="O3" t="str">
        <x:v>시간(초)</x:v>
      </x:c>
      <x:c r="P3" t="str">
        <x:v>전체</x:v>
      </x:c>
      <x:c r="Q3" t="str">
        <x:v>근거리</x:v>
      </x:c>
      <x:c r="R3" t="str">
        <x:v>원거리</x:v>
      </x:c>
    </x:row>
    <x:row r="4" ht="15" hidden="0" customHeight="1">
      <x:c r="A4" s="12" t="n">
        <x:v>3</x:v>
      </x:c>
      <x:c r="B4" s="12" t="n">
        <x:v>90</x:v>
      </x:c>
      <x:c r="C4" s="12" t="n">
        <x:v>2</x:v>
      </x:c>
      <x:c r="D4" s="12" t="n">
        <x:v>1</x:v>
      </x:c>
      <x:c r="E4" s="12" t="str">
        <x:v>근거리</x:v>
      </x:c>
      <x:c r="F4" s="12" t="n">
        <x:v>12</x:v>
      </x:c>
      <x:c r="G4" s="12" t="n">
        <x:v>6</x:v>
      </x:c>
      <x:c r="H4" s="12" t="n">
        <x:v>4</x:v>
      </x:c>
      <x:c r="I4" s="12" t="n">
        <x:f>IF(AND(I$3&gt;=$A4,I$3&lt;=$B4),$F4+INT((I$3-$A4)/60*$G4),0)</x:f>
        <x:v>17</x:v>
      </x:c>
      <x:c r="J4" s="12" t="n">
        <x:f>IF(AND(J$3&gt;=$A4,J$3&lt;=$B4),$F4+INT((J$3-$A4)/60*$G4),0)</x:f>
        <x:v>0</x:v>
      </x:c>
      <x:c r="K4" s="12" t="n">
        <x:f>IF(AND(K$3&gt;=$A4,K$3&lt;=$B4),$F4+INT((K$3-$A4)/60*$G4),0)</x:f>
        <x:v>0</x:v>
      </x:c>
      <x:c r="L4" s="12" t="n">
        <x:f>IF(AND(L$3&gt;=$A4,L$3&lt;=$B4),$F4+INT((L$3-$A4)/60*$G4),0)</x:f>
        <x:v>0</x:v>
      </x:c>
      <x:c r="M4" s="12" t="n">
        <x:f>IF(AND(M$3&gt;=$A4,M$3&lt;=$B4),$F4+INT((M$3-$A4)/60*$G4),0)</x:f>
        <x:v>0</x:v>
      </x:c>
      <x:c r="O4" t="n">
        <x:f>B23</x:f>
        <x:v>60</x:v>
      </x:c>
      <x:c r="P4" t="n">
        <x:f>B24</x:f>
        <x:v>21</x:v>
      </x:c>
      <x:c r="Q4" t="n">
        <x:f>B25</x:f>
        <x:v>21</x:v>
      </x:c>
      <x:c r="R4" t="n">
        <x:f>B26</x:f>
        <x:v>0</x:v>
      </x:c>
    </x:row>
    <x:row r="5" ht="15" hidden="0" customHeight="1">
      <x:c r="A5" s="12" t="n">
        <x:v>60</x:v>
      </x:c>
      <x:c r="B5" s="12" t="n">
        <x:v>150</x:v>
      </x:c>
      <x:c r="C5" s="12" t="n">
        <x:v>4</x:v>
      </x:c>
      <x:c r="D5" s="12" t="n">
        <x:v>2</x:v>
      </x:c>
      <x:c r="E5" s="12" t="str">
        <x:v>근거리</x:v>
      </x:c>
      <x:c r="F5" s="12" t="n">
        <x:v>4</x:v>
      </x:c>
      <x:c r="G5" s="12" t="n">
        <x:v>3</x:v>
      </x:c>
      <x:c r="H5" s="12" t="n">
        <x:v>2</x:v>
      </x:c>
      <x:c r="I5" s="12" t="n">
        <x:f>IF(AND(I$3&gt;=$A5,I$3&lt;=$B5),$F5+INT((I$3-$A5)/60*$G5),0)</x:f>
        <x:v>4</x:v>
      </x:c>
      <x:c r="J5" s="12" t="n">
        <x:f>IF(AND(J$3&gt;=$A5,J$3&lt;=$B5),$F5+INT((J$3-$A5)/60*$G5),0)</x:f>
        <x:v>0</x:v>
      </x:c>
      <x:c r="K5" s="12" t="n">
        <x:f>IF(AND(K$3&gt;=$A5,K$3&lt;=$B5),$F5+INT((K$3-$A5)/60*$G5),0)</x:f>
        <x:v>0</x:v>
      </x:c>
      <x:c r="L5" s="12" t="n">
        <x:f>IF(AND(L$3&gt;=$A5,L$3&lt;=$B5),$F5+INT((L$3-$A5)/60*$G5),0)</x:f>
        <x:v>0</x:v>
      </x:c>
      <x:c r="M5" s="12" t="n">
        <x:f>IF(AND(M$3&gt;=$A5,M$3&lt;=$B5),$F5+INT((M$3-$A5)/60*$G5),0)</x:f>
        <x:v>0</x:v>
      </x:c>
      <x:c r="O5" t="n">
        <x:f>C23</x:f>
        <x:v>180</x:v>
      </x:c>
      <x:c r="P5" t="n">
        <x:f>C24</x:f>
        <x:v>76</x:v>
      </x:c>
      <x:c r="Q5" t="n">
        <x:f>C25</x:f>
        <x:v>73</x:v>
      </x:c>
      <x:c r="R5" t="n">
        <x:f>C26</x:f>
        <x:v>3</x:v>
      </x:c>
    </x:row>
    <x:row r="6" ht="15" hidden="0" customHeight="1">
      <x:c r="A6" s="12" t="n">
        <x:v>90</x:v>
      </x:c>
      <x:c r="B6" s="12" t="n">
        <x:v>180</x:v>
      </x:c>
      <x:c r="C6" s="12" t="n">
        <x:v>2</x:v>
      </x:c>
      <x:c r="D6" s="12" t="n">
        <x:v>1</x:v>
      </x:c>
      <x:c r="E6" s="12" t="str">
        <x:v>근거리</x:v>
      </x:c>
      <x:c r="F6" s="12" t="n">
        <x:v>20</x:v>
      </x:c>
      <x:c r="G6" s="12" t="n">
        <x:v>8</x:v>
      </x:c>
      <x:c r="H6" s="12" t="n">
        <x:v>5</x:v>
      </x:c>
      <x:c r="I6" s="12" t="n">
        <x:f>IF(AND(I$3&gt;=$A6,I$3&lt;=$B6),$F6+INT((I$3-$A6)/60*$G6),0)</x:f>
        <x:v>0</x:v>
      </x:c>
      <x:c r="J6" s="12" t="n">
        <x:f>IF(AND(J$3&gt;=$A6,J$3&lt;=$B6),$F6+INT((J$3-$A6)/60*$G6),0)</x:f>
        <x:v>32</x:v>
      </x:c>
      <x:c r="K6" s="12" t="n">
        <x:f>IF(AND(K$3&gt;=$A6,K$3&lt;=$B6),$F6+INT((K$3-$A6)/60*$G6),0)</x:f>
        <x:v>0</x:v>
      </x:c>
      <x:c r="L6" s="12" t="n">
        <x:f>IF(AND(L$3&gt;=$A6,L$3&lt;=$B6),$F6+INT((L$3-$A6)/60*$G6),0)</x:f>
        <x:v>0</x:v>
      </x:c>
      <x:c r="M6" s="12" t="n">
        <x:f>IF(AND(M$3&gt;=$A6,M$3&lt;=$B6),$F6+INT((M$3-$A6)/60*$G6),0)</x:f>
        <x:v>0</x:v>
      </x:c>
      <x:c r="O6" t="n">
        <x:f>D23</x:f>
        <x:v>360</x:v>
      </x:c>
      <x:c r="P6" t="n">
        <x:f>D24</x:f>
        <x:v>61</x:v>
      </x:c>
      <x:c r="Q6" t="n">
        <x:f>D25</x:f>
        <x:v>61</x:v>
      </x:c>
      <x:c r="R6" t="n">
        <x:f>D26</x:f>
        <x:v>0</x:v>
      </x:c>
    </x:row>
    <x:row r="7" ht="15" hidden="0" customHeight="1">
      <x:c r="A7" s="12" t="n">
        <x:v>120</x:v>
      </x:c>
      <x:c r="B7" s="12" t="n">
        <x:v>180</x:v>
      </x:c>
      <x:c r="C7" s="12" t="n">
        <x:v>5</x:v>
      </x:c>
      <x:c r="D7" s="12" t="n">
        <x:v>4</x:v>
      </x:c>
      <x:c r="E7" s="12" t="str">
        <x:v>원거리</x:v>
      </x:c>
      <x:c r="F7" s="12" t="n">
        <x:v>2</x:v>
      </x:c>
      <x:c r="G7" s="12" t="n">
        <x:v>1</x:v>
      </x:c>
      <x:c r="H7" s="12" t="n">
        <x:v>1</x:v>
      </x:c>
      <x:c r="I7" s="12" t="n">
        <x:f>IF(AND(I$3&gt;=$A7,I$3&lt;=$B7),$F7+INT((I$3-$A7)/60*$G7),0)</x:f>
        <x:v>0</x:v>
      </x:c>
      <x:c r="J7" s="12" t="n">
        <x:f>IF(AND(J$3&gt;=$A7,J$3&lt;=$B7),$F7+INT((J$3-$A7)/60*$G7),0)</x:f>
        <x:v>3</x:v>
      </x:c>
      <x:c r="K7" s="12" t="n">
        <x:f>IF(AND(K$3&gt;=$A7,K$3&lt;=$B7),$F7+INT((K$3-$A7)/60*$G7),0)</x:f>
        <x:v>0</x:v>
      </x:c>
      <x:c r="L7" s="12" t="n">
        <x:f>IF(AND(L$3&gt;=$A7,L$3&lt;=$B7),$F7+INT((L$3-$A7)/60*$G7),0)</x:f>
        <x:v>0</x:v>
      </x:c>
      <x:c r="M7" s="12" t="n">
        <x:f>IF(AND(M$3&gt;=$A7,M$3&lt;=$B7),$F7+INT((M$3-$A7)/60*$G7),0)</x:f>
        <x:v>0</x:v>
      </x:c>
      <x:c r="O7" t="n">
        <x:f>E23</x:f>
        <x:v>600</x:v>
      </x:c>
      <x:c r="P7" t="n">
        <x:f>E24</x:f>
        <x:v>67</x:v>
      </x:c>
      <x:c r="Q7" t="n">
        <x:f>E25</x:f>
        <x:v>67</x:v>
      </x:c>
      <x:c r="R7" t="n">
        <x:f>E26</x:f>
        <x:v>0</x:v>
      </x:c>
    </x:row>
    <x:row r="8" ht="15" hidden="0" customHeight="1">
      <x:c r="A8" s="12" t="n">
        <x:v>150</x:v>
      </x:c>
      <x:c r="B8" s="12" t="n">
        <x:v>240</x:v>
      </x:c>
      <x:c r="C8" s="12" t="n">
        <x:v>4</x:v>
      </x:c>
      <x:c r="D8" s="12" t="n">
        <x:v>2</x:v>
      </x:c>
      <x:c r="E8" s="12" t="str">
        <x:v>근거리</x:v>
      </x:c>
      <x:c r="F8" s="12" t="n">
        <x:v>9</x:v>
      </x:c>
      <x:c r="G8" s="12" t="n">
        <x:v>5</x:v>
      </x:c>
      <x:c r="H8" s="12" t="n">
        <x:v>3</x:v>
      </x:c>
      <x:c r="I8" s="12" t="n">
        <x:f>IF(AND(I$3&gt;=$A8,I$3&lt;=$B8),$F8+INT((I$3-$A8)/60*$G8),0)</x:f>
        <x:v>0</x:v>
      </x:c>
      <x:c r="J8" s="12" t="n">
        <x:f>IF(AND(J$3&gt;=$A8,J$3&lt;=$B8),$F8+INT((J$3-$A8)/60*$G8),0)</x:f>
        <x:v>11</x:v>
      </x:c>
      <x:c r="K8" s="12" t="n">
        <x:f>IF(AND(K$3&gt;=$A8,K$3&lt;=$B8),$F8+INT((K$3-$A8)/60*$G8),0)</x:f>
        <x:v>0</x:v>
      </x:c>
      <x:c r="L8" s="12" t="n">
        <x:f>IF(AND(L$3&gt;=$A8,L$3&lt;=$B8),$F8+INT((L$3-$A8)/60*$G8),0)</x:f>
        <x:v>0</x:v>
      </x:c>
      <x:c r="M8" s="12" t="n">
        <x:f>IF(AND(M$3&gt;=$A8,M$3&lt;=$B8),$F8+INT((M$3-$A8)/60*$G8),0)</x:f>
        <x:v>0</x:v>
      </x:c>
      <x:c r="O8" t="n">
        <x:f>F23</x:f>
        <x:v>900</x:v>
      </x:c>
      <x:c r="P8" t="n">
        <x:f>F24</x:f>
        <x:v>106</x:v>
      </x:c>
      <x:c r="Q8" t="n">
        <x:f>F25</x:f>
        <x:v>100</x:v>
      </x:c>
      <x:c r="R8" t="n">
        <x:f>F26</x:f>
        <x:v>6</x:v>
      </x:c>
    </x:row>
    <x:row r="9" ht="15" hidden="0" customHeight="1">
      <x:c r="A9" s="12" t="n">
        <x:v>180</x:v>
      </x:c>
      <x:c r="B9" s="12" t="n">
        <x:v>240</x:v>
      </x:c>
      <x:c r="C9" s="12" t="n">
        <x:v>2</x:v>
      </x:c>
      <x:c r="D9" s="12" t="n">
        <x:v>1</x:v>
      </x:c>
      <x:c r="E9" s="12" t="str">
        <x:v>근거리</x:v>
      </x:c>
      <x:c r="F9" s="12" t="n">
        <x:v>30</x:v>
      </x:c>
      <x:c r="G9" s="12" t="n">
        <x:v>10</x:v>
      </x:c>
      <x:c r="H9" s="12" t="n">
        <x:v>6</x:v>
      </x:c>
      <x:c r="I9" s="12" t="n">
        <x:f>IF(AND(I$3&gt;=$A9,I$3&lt;=$B9),$F9+INT((I$3-$A9)/60*$G9),0)</x:f>
        <x:v>0</x:v>
      </x:c>
      <x:c r="J9" s="12" t="n">
        <x:f>IF(AND(J$3&gt;=$A9,J$3&lt;=$B9),$F9+INT((J$3-$A9)/60*$G9),0)</x:f>
        <x:v>30</x:v>
      </x:c>
      <x:c r="K9" s="12" t="n">
        <x:f>IF(AND(K$3&gt;=$A9,K$3&lt;=$B9),$F9+INT((K$3-$A9)/60*$G9),0)</x:f>
        <x:v>0</x:v>
      </x:c>
      <x:c r="L9" s="12" t="n">
        <x:f>IF(AND(L$3&gt;=$A9,L$3&lt;=$B9),$F9+INT((L$3-$A9)/60*$G9),0)</x:f>
        <x:v>0</x:v>
      </x:c>
      <x:c r="M9" s="12" t="n">
        <x:f>IF(AND(M$3&gt;=$A9,M$3&lt;=$B9),$F9+INT((M$3-$A9)/60*$G9),0)</x:f>
        <x:v>0</x:v>
      </x:c>
    </x:row>
    <x:row r="10" ht="15" hidden="0" customHeight="1">
      <x:c r="A10" s="12" t="n">
        <x:v>210</x:v>
      </x:c>
      <x:c r="B10" s="12" t="n">
        <x:v>240</x:v>
      </x:c>
      <x:c r="C10" s="12" t="n">
        <x:v>5</x:v>
      </x:c>
      <x:c r="D10" s="12" t="n">
        <x:v>4</x:v>
      </x:c>
      <x:c r="E10" s="12" t="str">
        <x:v>원거리</x:v>
      </x:c>
      <x:c r="F10" s="12" t="n">
        <x:v>3</x:v>
      </x:c>
      <x:c r="G10" s="12" t="n">
        <x:v>0</x:v>
      </x:c>
      <x:c r="H10" s="12" t="n">
        <x:v>1</x:v>
      </x:c>
      <x:c r="I10" s="12" t="n">
        <x:f>IF(AND(I$3&gt;=$A10,I$3&lt;=$B10),$F10+INT((I$3-$A10)/60*$G10),0)</x:f>
        <x:v>0</x:v>
      </x:c>
      <x:c r="J10" s="12" t="n">
        <x:f>IF(AND(J$3&gt;=$A10,J$3&lt;=$B10),$F10+INT((J$3-$A10)/60*$G10),0)</x:f>
        <x:v>0</x:v>
      </x:c>
      <x:c r="K10" s="12" t="n">
        <x:f>IF(AND(K$3&gt;=$A10,K$3&lt;=$B10),$F10+INT((K$3-$A10)/60*$G10),0)</x:f>
        <x:v>0</x:v>
      </x:c>
      <x:c r="L10" s="12" t="n">
        <x:f>IF(AND(L$3&gt;=$A10,L$3&lt;=$B10),$F10+INT((L$3-$A10)/60*$G10),0)</x:f>
        <x:v>0</x:v>
      </x:c>
      <x:c r="M10" s="12" t="n">
        <x:f>IF(AND(M$3&gt;=$A10,M$3&lt;=$B10),$F10+INT((M$3-$A10)/60*$G10),0)</x:f>
        <x:v>0</x:v>
      </x:c>
    </x:row>
    <x:row r="11" ht="15" hidden="0" customHeight="1">
      <x:c r="A11" s="12" t="n">
        <x:v>255</x:v>
      </x:c>
      <x:c r="B11" s="12" t="n">
        <x:v>480</x:v>
      </x:c>
      <x:c r="C11" s="12" t="n">
        <x:v>2</x:v>
      </x:c>
      <x:c r="D11" s="12" t="n">
        <x:v>9</x:v>
      </x:c>
      <x:c r="E11" s="12" t="str">
        <x:v>근거리</x:v>
      </x:c>
      <x:c r="F11" s="12" t="n">
        <x:v>28</x:v>
      </x:c>
      <x:c r="G11" s="12" t="n">
        <x:v>6</x:v>
      </x:c>
      <x:c r="H11" s="12" t="n">
        <x:v>6</x:v>
      </x:c>
      <x:c r="I11" s="12" t="n">
        <x:f>IF(AND(I$3&gt;=$A11,I$3&lt;=$B11),$F11+INT((I$3-$A11)/60*$G11),0)</x:f>
        <x:v>0</x:v>
      </x:c>
      <x:c r="J11" s="12" t="n">
        <x:f>IF(AND(J$3&gt;=$A11,J$3&lt;=$B11),$F11+INT((J$3-$A11)/60*$G11),0)</x:f>
        <x:v>0</x:v>
      </x:c>
      <x:c r="K11" s="12" t="n">
        <x:f>IF(AND(K$3&gt;=$A11,K$3&lt;=$B11),$F11+INT((K$3-$A11)/60*$G11),0)</x:f>
        <x:v>38</x:v>
      </x:c>
      <x:c r="L11" s="12" t="n">
        <x:f>IF(AND(L$3&gt;=$A11,L$3&lt;=$B11),$F11+INT((L$3-$A11)/60*$G11),0)</x:f>
        <x:v>0</x:v>
      </x:c>
      <x:c r="M11" s="12" t="n">
        <x:f>IF(AND(M$3&gt;=$A11,M$3&lt;=$B11),$F11+INT((M$3-$A11)/60*$G11),0)</x:f>
        <x:v>0</x:v>
      </x:c>
    </x:row>
    <x:row r="12" ht="15" hidden="0" customHeight="1">
      <x:c r="A12" s="12" t="n">
        <x:v>300</x:v>
      </x:c>
      <x:c r="B12" s="12" t="n">
        <x:v>480</x:v>
      </x:c>
      <x:c r="C12" s="12" t="n">
        <x:v>3</x:v>
      </x:c>
      <x:c r="D12" s="12" t="n">
        <x:v>10</x:v>
      </x:c>
      <x:c r="E12" s="12" t="str">
        <x:v>근거리</x:v>
      </x:c>
      <x:c r="F12" s="12" t="n">
        <x:v>10</x:v>
      </x:c>
      <x:c r="G12" s="12" t="n">
        <x:v>3</x:v>
      </x:c>
      <x:c r="H12" s="12" t="n">
        <x:v>3</x:v>
      </x:c>
      <x:c r="I12" s="12" t="n">
        <x:f>IF(AND(I$3&gt;=$A12,I$3&lt;=$B12),$F12+INT((I$3-$A12)/60*$G12),0)</x:f>
        <x:v>0</x:v>
      </x:c>
      <x:c r="J12" s="12" t="n">
        <x:f>IF(AND(J$3&gt;=$A12,J$3&lt;=$B12),$F12+INT((J$3-$A12)/60*$G12),0)</x:f>
        <x:v>0</x:v>
      </x:c>
      <x:c r="K12" s="12" t="n">
        <x:f>IF(AND(K$3&gt;=$A12,K$3&lt;=$B12),$F12+INT((K$3-$A12)/60*$G12),0)</x:f>
        <x:v>13</x:v>
      </x:c>
      <x:c r="L12" s="12" t="n">
        <x:f>IF(AND(L$3&gt;=$A12,L$3&lt;=$B12),$F12+INT((L$3-$A12)/60*$G12),0)</x:f>
        <x:v>0</x:v>
      </x:c>
      <x:c r="M12" s="12" t="n">
        <x:f>IF(AND(M$3&gt;=$A12,M$3&lt;=$B12),$F12+INT((M$3-$A12)/60*$G12),0)</x:f>
        <x:v>0</x:v>
      </x:c>
    </x:row>
    <x:row r="13" ht="15" hidden="0" customHeight="1">
      <x:c r="A13" s="12" t="n">
        <x:v>360</x:v>
      </x:c>
      <x:c r="B13" s="12" t="n">
        <x:v>480</x:v>
      </x:c>
      <x:c r="C13" s="12" t="n">
        <x:v>4</x:v>
      </x:c>
      <x:c r="D13" s="12" t="n">
        <x:v>11</x:v>
      </x:c>
      <x:c r="E13" s="12" t="str">
        <x:v>근거리</x:v>
      </x:c>
      <x:c r="F13" s="12" t="n">
        <x:v>10</x:v>
      </x:c>
      <x:c r="G13" s="12" t="n">
        <x:v>4</x:v>
      </x:c>
      <x:c r="H13" s="12" t="n">
        <x:v>3</x:v>
      </x:c>
      <x:c r="I13" s="12" t="n">
        <x:f>IF(AND(I$3&gt;=$A13,I$3&lt;=$B13),$F13+INT((I$3-$A13)/60*$G13),0)</x:f>
        <x:v>0</x:v>
      </x:c>
      <x:c r="J13" s="12" t="n">
        <x:f>IF(AND(J$3&gt;=$A13,J$3&lt;=$B13),$F13+INT((J$3-$A13)/60*$G13),0)</x:f>
        <x:v>0</x:v>
      </x:c>
      <x:c r="K13" s="12" t="n">
        <x:f>IF(AND(K$3&gt;=$A13,K$3&lt;=$B13),$F13+INT((K$3-$A13)/60*$G13),0)</x:f>
        <x:v>10</x:v>
      </x:c>
      <x:c r="L13" s="12" t="n">
        <x:f>IF(AND(L$3&gt;=$A13,L$3&lt;=$B13),$F13+INT((L$3-$A13)/60*$G13),0)</x:f>
        <x:v>0</x:v>
      </x:c>
      <x:c r="M13" s="12" t="n">
        <x:f>IF(AND(M$3&gt;=$A13,M$3&lt;=$B13),$F13+INT((M$3-$A13)/60*$G13),0)</x:f>
        <x:v>0</x:v>
      </x:c>
    </x:row>
    <x:row r="14" ht="15" hidden="0" customHeight="1">
      <x:c r="A14" s="12" t="n">
        <x:v>495</x:v>
      </x:c>
      <x:c r="B14" s="12" t="n">
        <x:v>720</x:v>
      </x:c>
      <x:c r="C14" s="12" t="n">
        <x:v>3</x:v>
      </x:c>
      <x:c r="D14" s="12" t="n">
        <x:v>10</x:v>
      </x:c>
      <x:c r="E14" s="12" t="str">
        <x:v>근거리</x:v>
      </x:c>
      <x:c r="F14" s="12" t="n">
        <x:v>30</x:v>
      </x:c>
      <x:c r="G14" s="12" t="n">
        <x:v>5</x:v>
      </x:c>
      <x:c r="H14" s="12" t="n">
        <x:v>6</x:v>
      </x:c>
      <x:c r="I14" s="12" t="n">
        <x:f>IF(AND(I$3&gt;=$A14,I$3&lt;=$B14),$F14+INT((I$3-$A14)/60*$G14),0)</x:f>
        <x:v>0</x:v>
      </x:c>
      <x:c r="J14" s="12" t="n">
        <x:f>IF(AND(J$3&gt;=$A14,J$3&lt;=$B14),$F14+INT((J$3-$A14)/60*$G14),0)</x:f>
        <x:v>0</x:v>
      </x:c>
      <x:c r="K14" s="12" t="n">
        <x:f>IF(AND(K$3&gt;=$A14,K$3&lt;=$B14),$F14+INT((K$3-$A14)/60*$G14),0)</x:f>
        <x:v>0</x:v>
      </x:c>
      <x:c r="L14" s="12" t="n">
        <x:f>IF(AND(L$3&gt;=$A14,L$3&lt;=$B14),$F14+INT((L$3-$A14)/60*$G14),0)</x:f>
        <x:v>38</x:v>
      </x:c>
      <x:c r="M14" s="12" t="n">
        <x:f>IF(AND(M$3&gt;=$A14,M$3&lt;=$B14),$F14+INT((M$3-$A14)/60*$G14),0)</x:f>
        <x:v>0</x:v>
      </x:c>
    </x:row>
    <x:row r="15" ht="15" hidden="0" customHeight="1">
      <x:c r="A15" s="12" t="n">
        <x:v>540</x:v>
      </x:c>
      <x:c r="B15" s="12" t="n">
        <x:v>720</x:v>
      </x:c>
      <x:c r="C15" s="12" t="n">
        <x:v>4</x:v>
      </x:c>
      <x:c r="D15" s="12" t="n">
        <x:v>11</x:v>
      </x:c>
      <x:c r="E15" s="12" t="str">
        <x:v>근거리</x:v>
      </x:c>
      <x:c r="F15" s="12" t="n">
        <x:v>15</x:v>
      </x:c>
      <x:c r="G15" s="12" t="n">
        <x:v>4</x:v>
      </x:c>
      <x:c r="H15" s="12" t="n">
        <x:v>4</x:v>
      </x:c>
      <x:c r="I15" s="12" t="n">
        <x:f>IF(AND(I$3&gt;=$A15,I$3&lt;=$B15),$F15+INT((I$3-$A15)/60*$G15),0)</x:f>
        <x:v>0</x:v>
      </x:c>
      <x:c r="J15" s="12" t="n">
        <x:f>IF(AND(J$3&gt;=$A15,J$3&lt;=$B15),$F15+INT((J$3-$A15)/60*$G15),0)</x:f>
        <x:v>0</x:v>
      </x:c>
      <x:c r="K15" s="12" t="n">
        <x:f>IF(AND(K$3&gt;=$A15,K$3&lt;=$B15),$F15+INT((K$3-$A15)/60*$G15),0)</x:f>
        <x:v>0</x:v>
      </x:c>
      <x:c r="L15" s="12" t="n">
        <x:f>IF(AND(L$3&gt;=$A15,L$3&lt;=$B15),$F15+INT((L$3-$A15)/60*$G15),0)</x:f>
        <x:v>19</x:v>
      </x:c>
      <x:c r="M15" s="12" t="n">
        <x:f>IF(AND(M$3&gt;=$A15,M$3&lt;=$B15),$F15+INT((M$3-$A15)/60*$G15),0)</x:f>
        <x:v>0</x:v>
      </x:c>
    </x:row>
    <x:row r="16" ht="15" hidden="0" customHeight="1">
      <x:c r="A16" s="12" t="n">
        <x:v>600</x:v>
      </x:c>
      <x:c r="B16" s="12" t="n">
        <x:v>720</x:v>
      </x:c>
      <x:c r="C16" s="12" t="n">
        <x:v>4</x:v>
      </x:c>
      <x:c r="D16" s="12" t="n">
        <x:v>12</x:v>
      </x:c>
      <x:c r="E16" s="12" t="str">
        <x:v>근거리</x:v>
      </x:c>
      <x:c r="F16" s="12" t="n">
        <x:v>10</x:v>
      </x:c>
      <x:c r="G16" s="12" t="n">
        <x:v>4</x:v>
      </x:c>
      <x:c r="H16" s="12" t="n">
        <x:v>4</x:v>
      </x:c>
      <x:c r="I16" s="12" t="n">
        <x:f>IF(AND(I$3&gt;=$A16,I$3&lt;=$B16),$F16+INT((I$3-$A16)/60*$G16),0)</x:f>
        <x:v>0</x:v>
      </x:c>
      <x:c r="J16" s="12" t="n">
        <x:f>IF(AND(J$3&gt;=$A16,J$3&lt;=$B16),$F16+INT((J$3-$A16)/60*$G16),0)</x:f>
        <x:v>0</x:v>
      </x:c>
      <x:c r="K16" s="12" t="n">
        <x:f>IF(AND(K$3&gt;=$A16,K$3&lt;=$B16),$F16+INT((K$3-$A16)/60*$G16),0)</x:f>
        <x:v>0</x:v>
      </x:c>
      <x:c r="L16" s="12" t="n">
        <x:f>IF(AND(L$3&gt;=$A16,L$3&lt;=$B16),$F16+INT((L$3-$A16)/60*$G16),0)</x:f>
        <x:v>10</x:v>
      </x:c>
      <x:c r="M16" s="12" t="n">
        <x:f>IF(AND(M$3&gt;=$A16,M$3&lt;=$B16),$F16+INT((M$3-$A16)/60*$G16),0)</x:f>
        <x:v>0</x:v>
      </x:c>
    </x:row>
    <x:row r="17" ht="15" hidden="0" customHeight="1">
      <x:c r="A17" s="12" t="n">
        <x:v>630</x:v>
      </x:c>
      <x:c r="B17" s="12" t="n">
        <x:v>720</x:v>
      </x:c>
      <x:c r="C17" s="12" t="n">
        <x:v>5</x:v>
      </x:c>
      <x:c r="D17" s="12" t="n">
        <x:v>13</x:v>
      </x:c>
      <x:c r="E17" s="12" t="str">
        <x:v>원거리</x:v>
      </x:c>
      <x:c r="F17" s="12" t="n">
        <x:v>4</x:v>
      </x:c>
      <x:c r="G17" s="12" t="n">
        <x:v>1</x:v>
      </x:c>
      <x:c r="H17" s="12" t="n">
        <x:v>1</x:v>
      </x:c>
      <x:c r="I17" s="12" t="n">
        <x:f>IF(AND(I$3&gt;=$A17,I$3&lt;=$B17),$F17+INT((I$3-$A17)/60*$G17),0)</x:f>
        <x:v>0</x:v>
      </x:c>
      <x:c r="J17" s="12" t="n">
        <x:f>IF(AND(J$3&gt;=$A17,J$3&lt;=$B17),$F17+INT((J$3-$A17)/60*$G17),0)</x:f>
        <x:v>0</x:v>
      </x:c>
      <x:c r="K17" s="12" t="n">
        <x:f>IF(AND(K$3&gt;=$A17,K$3&lt;=$B17),$F17+INT((K$3-$A17)/60*$G17),0)</x:f>
        <x:v>0</x:v>
      </x:c>
      <x:c r="L17" s="12" t="n">
        <x:f>IF(AND(L$3&gt;=$A17,L$3&lt;=$B17),$F17+INT((L$3-$A17)/60*$G17),0)</x:f>
        <x:v>0</x:v>
      </x:c>
      <x:c r="M17" s="12" t="n">
        <x:f>IF(AND(M$3&gt;=$A17,M$3&lt;=$B17),$F17+INT((M$3-$A17)/60*$G17),0)</x:f>
        <x:v>0</x:v>
      </x:c>
    </x:row>
    <x:row r="18" ht="15" hidden="0" customHeight="1">
      <x:c r="A18" s="12" t="n">
        <x:v>735</x:v>
      </x:c>
      <x:c r="B18" s="12" t="n">
        <x:v>900</x:v>
      </x:c>
      <x:c r="C18" s="12" t="n">
        <x:v>4</x:v>
      </x:c>
      <x:c r="D18" s="12" t="n">
        <x:v>11</x:v>
      </x:c>
      <x:c r="E18" s="12" t="str">
        <x:v>근거리</x:v>
      </x:c>
      <x:c r="F18" s="12" t="n">
        <x:v>34</x:v>
      </x:c>
      <x:c r="G18" s="12" t="n">
        <x:v>8</x:v>
      </x:c>
      <x:c r="H18" s="12" t="n">
        <x:v>6</x:v>
      </x:c>
      <x:c r="I18" s="12" t="n">
        <x:f>IF(AND(I$3&gt;=$A18,I$3&lt;=$B18),$F18+INT((I$3-$A18)/60*$G18),0)</x:f>
        <x:v>0</x:v>
      </x:c>
      <x:c r="J18" s="12" t="n">
        <x:f>IF(AND(J$3&gt;=$A18,J$3&lt;=$B18),$F18+INT((J$3-$A18)/60*$G18),0)</x:f>
        <x:v>0</x:v>
      </x:c>
      <x:c r="K18" s="12" t="n">
        <x:f>IF(AND(K$3&gt;=$A18,K$3&lt;=$B18),$F18+INT((K$3-$A18)/60*$G18),0)</x:f>
        <x:v>0</x:v>
      </x:c>
      <x:c r="L18" s="12" t="n">
        <x:f>IF(AND(L$3&gt;=$A18,L$3&lt;=$B18),$F18+INT((L$3-$A18)/60*$G18),0)</x:f>
        <x:v>0</x:v>
      </x:c>
      <x:c r="M18" s="12" t="n">
        <x:f>IF(AND(M$3&gt;=$A18,M$3&lt;=$B18),$F18+INT((M$3-$A18)/60*$G18),0)</x:f>
        <x:v>56</x:v>
      </x:c>
    </x:row>
    <x:row r="19" ht="15" hidden="0" customHeight="1">
      <x:c r="A19" s="12" t="n">
        <x:v>750</x:v>
      </x:c>
      <x:c r="B19" s="12" t="n">
        <x:v>900</x:v>
      </x:c>
      <x:c r="C19" s="12" t="n">
        <x:v>4</x:v>
      </x:c>
      <x:c r="D19" s="12" t="n">
        <x:v>12</x:v>
      </x:c>
      <x:c r="E19" s="12" t="str">
        <x:v>근거리</x:v>
      </x:c>
      <x:c r="F19" s="12" t="n">
        <x:v>24</x:v>
      </x:c>
      <x:c r="G19" s="12" t="n">
        <x:v>8</x:v>
      </x:c>
      <x:c r="H19" s="12" t="n">
        <x:v>5</x:v>
      </x:c>
      <x:c r="I19" s="12" t="n">
        <x:f>IF(AND(I$3&gt;=$A19,I$3&lt;=$B19),$F19+INT((I$3-$A19)/60*$G19),0)</x:f>
        <x:v>0</x:v>
      </x:c>
      <x:c r="J19" s="12" t="n">
        <x:f>IF(AND(J$3&gt;=$A19,J$3&lt;=$B19),$F19+INT((J$3-$A19)/60*$G19),0)</x:f>
        <x:v>0</x:v>
      </x:c>
      <x:c r="K19" s="12" t="n">
        <x:f>IF(AND(K$3&gt;=$A19,K$3&lt;=$B19),$F19+INT((K$3-$A19)/60*$G19),0)</x:f>
        <x:v>0</x:v>
      </x:c>
      <x:c r="L19" s="12" t="n">
        <x:f>IF(AND(L$3&gt;=$A19,L$3&lt;=$B19),$F19+INT((L$3-$A19)/60*$G19),0)</x:f>
        <x:v>0</x:v>
      </x:c>
      <x:c r="M19" s="12" t="n">
        <x:f>IF(AND(M$3&gt;=$A19,M$3&lt;=$B19),$F19+INT((M$3-$A19)/60*$G19),0)</x:f>
        <x:v>44</x:v>
      </x:c>
    </x:row>
    <x:row r="20" ht="15" hidden="0" customHeight="1">
      <x:c r="A20" s="12" t="n">
        <x:v>780</x:v>
      </x:c>
      <x:c r="B20" s="12" t="n">
        <x:v>900</x:v>
      </x:c>
      <x:c r="C20" s="12" t="n">
        <x:v>6</x:v>
      </x:c>
      <x:c r="D20" s="12" t="n">
        <x:v>13</x:v>
      </x:c>
      <x:c r="E20" s="12" t="str">
        <x:v>원거리</x:v>
      </x:c>
      <x:c r="F20" s="12" t="n">
        <x:v>4</x:v>
      </x:c>
      <x:c r="G20" s="12" t="n">
        <x:v>1</x:v>
      </x:c>
      <x:c r="H20" s="12" t="n">
        <x:v>1</x:v>
      </x:c>
      <x:c r="I20" s="12" t="n">
        <x:f>IF(AND(I$3&gt;=$A20,I$3&lt;=$B20),$F20+INT((I$3-$A20)/60*$G20),0)</x:f>
        <x:v>0</x:v>
      </x:c>
      <x:c r="J20" s="12" t="n">
        <x:f>IF(AND(J$3&gt;=$A20,J$3&lt;=$B20),$F20+INT((J$3-$A20)/60*$G20),0)</x:f>
        <x:v>0</x:v>
      </x:c>
      <x:c r="K20" s="12" t="n">
        <x:f>IF(AND(K$3&gt;=$A20,K$3&lt;=$B20),$F20+INT((K$3-$A20)/60*$G20),0)</x:f>
        <x:v>0</x:v>
      </x:c>
      <x:c r="L20" s="12" t="n">
        <x:f>IF(AND(L$3&gt;=$A20,L$3&lt;=$B20),$F20+INT((L$3-$A20)/60*$G20),0)</x:f>
        <x:v>0</x:v>
      </x:c>
      <x:c r="M20" s="12" t="n">
        <x:f>IF(AND(M$3&gt;=$A20,M$3&lt;=$B20),$F20+INT((M$3-$A20)/60*$G20),0)</x:f>
        <x:v>6</x:v>
      </x:c>
    </x:row>
    <x:row r="21"/>
    <x:row r="22" ht="15" hidden="0" customHeight="1">
      <x:c r="A22" s="20" t="str">
        <x:v>스냅샷 목표 수</x:v>
      </x:c>
      <x:c r="B22" s="20"/>
      <x:c r="C22" s="20"/>
      <x:c r="D22" s="20"/>
      <x:c r="E22" s="20"/>
      <x:c r="F22" s="20"/>
      <x:c r="G22" s="20"/>
      <x:c r="H22" s="20"/>
    </x:row>
    <x:row r="23" ht="15" hidden="0" customHeight="1">
      <x:c r="A23" s="15" t="str">
        <x:v>구분</x:v>
      </x:c>
      <x:c r="B23" s="15" t="n">
        <x:v>60</x:v>
      </x:c>
      <x:c r="C23" s="15" t="n">
        <x:v>180</x:v>
      </x:c>
      <x:c r="D23" s="15" t="n">
        <x:v>360</x:v>
      </x:c>
      <x:c r="E23" s="15" t="n">
        <x:v>600</x:v>
      </x:c>
      <x:c r="F23" s="15" t="n">
        <x:v>900</x:v>
      </x:c>
    </x:row>
    <x:row r="24" ht="15" hidden="0" customHeight="1">
      <x:c r="A24" s="12" t="str">
        <x:v>전체</x:v>
      </x:c>
      <x:c r="B24" s="12" t="n">
        <x:f>SUM(I$4:I$20)</x:f>
        <x:v>21</x:v>
      </x:c>
      <x:c r="C24" s="12" t="n">
        <x:f>SUM(J$4:J$20)</x:f>
        <x:v>76</x:v>
      </x:c>
      <x:c r="D24" s="12" t="n">
        <x:f>SUM(K$4:K$20)</x:f>
        <x:v>61</x:v>
      </x:c>
      <x:c r="E24" s="12" t="n">
        <x:f>SUM(L$4:L$20)</x:f>
        <x:v>67</x:v>
      </x:c>
      <x:c r="F24" s="12" t="n">
        <x:f>SUM(M$4:M$20)</x:f>
        <x:v>106</x:v>
      </x:c>
    </x:row>
    <x:row r="25" ht="15" hidden="0" customHeight="1">
      <x:c r="A25" s="12" t="str">
        <x:v>근거리</x:v>
      </x:c>
      <x:c r="B25" s="12" t="n">
        <x:f>SUMIF($E$4:$E$20,"근거리",I$4:I$20)</x:f>
        <x:v>21</x:v>
      </x:c>
      <x:c r="C25" s="12" t="n">
        <x:f>SUMIF($E$4:$E$20,"근거리",J$4:J$20)</x:f>
        <x:v>73</x:v>
      </x:c>
      <x:c r="D25" s="12" t="n">
        <x:f>SUMIF($E$4:$E$20,"근거리",K$4:K$20)</x:f>
        <x:v>61</x:v>
      </x:c>
      <x:c r="E25" s="12" t="n">
        <x:f>SUMIF($E$4:$E$20,"근거리",L$4:L$20)</x:f>
        <x:v>67</x:v>
      </x:c>
      <x:c r="F25" s="12" t="n">
        <x:f>SUMIF($E$4:$E$20,"근거리",M$4:M$20)</x:f>
        <x:v>100</x:v>
      </x:c>
    </x:row>
    <x:row r="26" ht="15" hidden="0" customHeight="1">
      <x:c r="A26" s="12" t="str">
        <x:v>원거리</x:v>
      </x:c>
      <x:c r="B26" s="12" t="n">
        <x:f>SUMIF($E$4:$E$20,"원거리",I$4:I$20)</x:f>
        <x:v>0</x:v>
      </x:c>
      <x:c r="C26" s="12" t="n">
        <x:f>SUMIF($E$4:$E$20,"원거리",J$4:J$20)</x:f>
        <x:v>3</x:v>
      </x:c>
      <x:c r="D26" s="12" t="n">
        <x:f>SUMIF($E$4:$E$20,"원거리",K$4:K$20)</x:f>
        <x:v>0</x:v>
      </x:c>
      <x:c r="E26" s="12" t="n">
        <x:f>SUMIF($E$4:$E$20,"원거리",L$4:L$20)</x:f>
        <x:v>0</x:v>
      </x:c>
      <x:c r="F26" s="12" t="n">
        <x:f>SUMIF($E$4:$E$20,"원거리",M$4:M$20)</x:f>
        <x:v>6</x:v>
      </x:c>
    </x:row>
  </x:sheetData>
  <x:mergeCells>
    <x:mergeCell ref="A1:R1"/>
    <x:mergeCell ref="A2:R2"/>
    <x:mergeCell ref="A22:H22"/>
  </x:mergeCells>
  <x:conditionalFormatting sqref="E4:E20">
    <x:cfRule type="containsText" dxfId="1" priority="1" operator="containsText" text="원거리"/>
  </x:conditionalFormatting>
  <x:pageMargins left="0.7" right="0.7" top="0.75" bottom="0.75" header="0.3" footer="0.3"/>
  <x:drawing xmlns:r="http://schemas.openxmlformats.org/officeDocument/2006/relationships" r:id="R7c5dd1e3bfa54ecc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5" hidden="0" customWidth="1"/>
    <x:col min="3" max="3" width="15" hidden="0" customWidth="1"/>
    <x:col min="4" max="4" width="13" hidden="0" customWidth="1"/>
    <x:col min="5" max="5" width="13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5" hidden="0" customWidth="1"/>
    <x:col min="11" max="11" width="15" hidden="0" customWidth="1"/>
    <x:col min="12" max="12" width="24" hidden="0" customWidth="1"/>
    <x:col min="13" max="13" width="3" hidden="0" customWidth="1"/>
    <x:col min="14" max="14" width="12" hidden="0" customWidth="1"/>
    <x:col min="15" max="15" width="12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</x:cols>
  <x:sheetData>
    <x:row r="1" ht="21.600000381469727" hidden="0" customHeight="1">
      <x:c r="A1" s="3" t="str">
        <x:v>적·보스 체력·피해·보상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15" hidden="0" customHeight="1">
      <x:c r="A2" s="6" t="str">
        <x:v>고밀도에서는 개체 공격력을 낮추고, 보스 체력·보상은 출현 시간에 따라 단조 증가시킵니다.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/>
    <x:row r="4" ht="24" hidden="0" customHeight="1">
      <x:c r="A4" s="15" t="str">
        <x:v>ID</x:v>
      </x:c>
      <x:c r="B4" s="15" t="str">
        <x:v>이름</x:v>
      </x:c>
      <x:c r="C4" s="15" t="str">
        <x:v>역할</x:v>
      </x:c>
      <x:c r="D4" s="15" t="str">
        <x:v>HP</x:v>
      </x:c>
      <x:c r="E4" s="15" t="str">
        <x:v>접촉/공격 피해</x:v>
      </x:c>
      <x:c r="F4" s="15" t="str">
        <x:v>이동속도</x:v>
      </x:c>
      <x:c r="G4" s="15" t="str">
        <x:v>골드</x:v>
      </x:c>
      <x:c r="H4" s="15" t="str">
        <x:v>사거리</x:v>
      </x:c>
      <x:c r="I4" s="15" t="str">
        <x:v>쿨다운</x:v>
      </x:c>
      <x:c r="J4" s="15" t="str">
        <x:v>출현초</x:v>
      </x:c>
      <x:c r="K4" s="15" t="str">
        <x:v>100G 기준 피격 허용 횟수</x:v>
      </x:c>
      <x:c r="L4" s="15" t="str">
        <x:v>정적 비고</x:v>
      </x:c>
      <x:c r="N4" t="str">
        <x:v>보스</x:v>
      </x:c>
      <x:c r="O4" t="str">
        <x:v>HP</x:v>
      </x:c>
    </x:row>
    <x:row r="5" ht="15" hidden="0" customHeight="1">
      <x:c r="A5" s="12" t="n">
        <x:v>1</x:v>
      </x:c>
      <x:c r="B5" s="12" t="str">
        <x:v>농부</x:v>
      </x:c>
      <x:c r="C5" s="12" t="str">
        <x:v>근거리</x:v>
      </x:c>
      <x:c r="D5" s="12" t="n">
        <x:v>100</x:v>
      </x:c>
      <x:c r="E5" s="12" t="n">
        <x:v>8</x:v>
      </x:c>
      <x:c r="F5" s="12" t="n">
        <x:v>1.2</x:v>
      </x:c>
      <x:c r="G5" s="12" t="n">
        <x:v>4</x:v>
      </x:c>
      <x:c r="H5" s="12"/>
      <x:c r="I5" s="12"/>
      <x:c r="J5" s="21"/>
      <x:c r="K5" s="12" t="n">
        <x:f>IF(E5&gt;0,INT(100/E5),"-")</x:f>
        <x:v>12</x:v>
      </x:c>
      <x:c r="L5" s="12" t="str">
        <x:v>밀도 증가 대상</x:v>
      </x:c>
      <x:c r="N5" t="str">
        <x:v>4분</x:v>
      </x:c>
      <x:c r="O5" t="n">
        <x:v>3500</x:v>
      </x:c>
    </x:row>
    <x:row r="6" ht="15" hidden="0" customHeight="1">
      <x:c r="A6" s="12" t="n">
        <x:v>2</x:v>
      </x:c>
      <x:c r="B6" s="12" t="str">
        <x:v>귀족</x:v>
      </x:c>
      <x:c r="C6" s="12" t="str">
        <x:v>근거리</x:v>
      </x:c>
      <x:c r="D6" s="12" t="n">
        <x:v>180</x:v>
      </x:c>
      <x:c r="E6" s="12" t="n">
        <x:v>12</x:v>
      </x:c>
      <x:c r="F6" s="12" t="n">
        <x:v>1.8</x:v>
      </x:c>
      <x:c r="G6" s="12" t="n">
        <x:v>6</x:v>
      </x:c>
      <x:c r="H6" s="12"/>
      <x:c r="I6" s="12"/>
      <x:c r="J6" s="21"/>
      <x:c r="K6" s="12" t="n">
        <x:f>IF(E6&gt;0,INT(100/E6),"-")</x:f>
        <x:v>8</x:v>
      </x:c>
      <x:c r="L6" s="12" t="str">
        <x:v>밀도 증가 대상</x:v>
      </x:c>
      <x:c r="N6" t="str">
        <x:v>8분</x:v>
      </x:c>
      <x:c r="O6" t="n">
        <x:v>7000</x:v>
      </x:c>
    </x:row>
    <x:row r="7" ht="15" hidden="0" customHeight="1">
      <x:c r="A7" s="12" t="n">
        <x:v>3</x:v>
      </x:c>
      <x:c r="B7" s="12" t="str">
        <x:v>학생</x:v>
      </x:c>
      <x:c r="C7" s="12" t="str">
        <x:v>근거리(예비)</x:v>
      </x:c>
      <x:c r="D7" s="12" t="n">
        <x:v>280</x:v>
      </x:c>
      <x:c r="E7" s="12" t="n">
        <x:v>15</x:v>
      </x:c>
      <x:c r="F7" s="12" t="n">
        <x:v>2.5</x:v>
      </x:c>
      <x:c r="G7" s="12" t="n">
        <x:v>7</x:v>
      </x:c>
      <x:c r="H7" s="12"/>
      <x:c r="I7" s="12"/>
      <x:c r="J7" s="21"/>
      <x:c r="K7" s="12" t="n">
        <x:f>IF(E7&gt;0,INT(100/E7),"-")</x:f>
        <x:v>6</x:v>
      </x:c>
      <x:c r="L7" s="12" t="str">
        <x:v>밀도 증가 대상</x:v>
      </x:c>
      <x:c r="N7" t="str">
        <x:v>12분</x:v>
      </x:c>
      <x:c r="O7" t="n">
        <x:v>12000</x:v>
      </x:c>
    </x:row>
    <x:row r="8" ht="15" hidden="0" customHeight="1">
      <x:c r="A8" s="12" t="n">
        <x:v>4</x:v>
      </x:c>
      <x:c r="B8" s="12" t="str">
        <x:v>마법사</x:v>
      </x:c>
      <x:c r="C8" s="12" t="str">
        <x:v>원거리</x:v>
      </x:c>
      <x:c r="D8" s="12" t="n">
        <x:v>240</x:v>
      </x:c>
      <x:c r="E8" s="12" t="n">
        <x:v>12</x:v>
      </x:c>
      <x:c r="F8" s="12" t="n">
        <x:v>1</x:v>
      </x:c>
      <x:c r="G8" s="12" t="n">
        <x:v>8</x:v>
      </x:c>
      <x:c r="H8" s="12" t="n">
        <x:v>6</x:v>
      </x:c>
      <x:c r="I8" s="12" t="n">
        <x:v>2</x:v>
      </x:c>
      <x:c r="J8" s="21"/>
      <x:c r="K8" s="12" t="n">
        <x:f>IF(E8&gt;0,INT(100/E8),"-")</x:f>
        <x:v>8</x:v>
      </x:c>
      <x:c r="L8" s="12" t="str">
        <x:v>동시 목표 상한 유지</x:v>
      </x:c>
      <x:c r="N8" t="str">
        <x:v>15분</x:v>
      </x:c>
      <x:c r="O8" t="n">
        <x:v>20000</x:v>
      </x:c>
    </x:row>
    <x:row r="9" ht="15" hidden="0" customHeight="1">
      <x:c r="A9" s="12" t="n">
        <x:v>5</x:v>
      </x:c>
      <x:c r="B9" s="12" t="str">
        <x:v>중간 보스 1</x:v>
      </x:c>
      <x:c r="C9" s="12" t="str">
        <x:v>보스</x:v>
      </x:c>
      <x:c r="D9" s="12" t="n">
        <x:v>3500</x:v>
      </x:c>
      <x:c r="E9" s="12" t="n">
        <x:v>35</x:v>
      </x:c>
      <x:c r="F9" s="12" t="n">
        <x:v>1.5</x:v>
      </x:c>
      <x:c r="G9" s="12" t="n">
        <x:v>80</x:v>
      </x:c>
      <x:c r="H9" s="12"/>
      <x:c r="I9" s="12"/>
      <x:c r="J9" s="21" t="n">
        <x:v>240</x:v>
      </x:c>
      <x:c r="K9" s="12" t="n">
        <x:f>IF(E9&gt;0,INT(100/E9),"-")</x:f>
        <x:v>2</x:v>
      </x:c>
      <x:c r="L9" s="12" t="str">
        <x:v>보스 TTK는 Play Mode 실측</x:v>
      </x:c>
    </x:row>
    <x:row r="10" ht="15" hidden="0" customHeight="1">
      <x:c r="A10" s="12" t="n">
        <x:v>6</x:v>
      </x:c>
      <x:c r="B10" s="12" t="str">
        <x:v>중간 보스 2</x:v>
      </x:c>
      <x:c r="C10" s="12" t="str">
        <x:v>보스</x:v>
      </x:c>
      <x:c r="D10" s="12" t="n">
        <x:v>7000</x:v>
      </x:c>
      <x:c r="E10" s="12" t="n">
        <x:v>55</x:v>
      </x:c>
      <x:c r="F10" s="12" t="n">
        <x:v>1.8</x:v>
      </x:c>
      <x:c r="G10" s="12" t="n">
        <x:v>140</x:v>
      </x:c>
      <x:c r="H10" s="12" t="n">
        <x:v>6</x:v>
      </x:c>
      <x:c r="I10" s="12" t="n">
        <x:v>1</x:v>
      </x:c>
      <x:c r="J10" s="21" t="n">
        <x:v>480</x:v>
      </x:c>
      <x:c r="K10" s="12" t="n">
        <x:f>IF(E10&gt;0,INT(100/E10),"-")</x:f>
        <x:v>1</x:v>
      </x:c>
      <x:c r="L10" s="12" t="str">
        <x:v>보스 TTK는 Play Mode 실측</x:v>
      </x:c>
    </x:row>
    <x:row r="11" ht="15" hidden="0" customHeight="1">
      <x:c r="A11" s="12" t="n">
        <x:v>7</x:v>
      </x:c>
      <x:c r="B11" s="12" t="str">
        <x:v>중간 보스 3</x:v>
      </x:c>
      <x:c r="C11" s="12" t="str">
        <x:v>보스</x:v>
      </x:c>
      <x:c r="D11" s="12" t="n">
        <x:v>12000</x:v>
      </x:c>
      <x:c r="E11" s="12" t="n">
        <x:v>75</x:v>
      </x:c>
      <x:c r="F11" s="12" t="n">
        <x:v>2.5</x:v>
      </x:c>
      <x:c r="G11" s="12" t="n">
        <x:v>220</x:v>
      </x:c>
      <x:c r="H11" s="12"/>
      <x:c r="I11" s="12"/>
      <x:c r="J11" s="21" t="n">
        <x:v>720</x:v>
      </x:c>
      <x:c r="K11" s="12" t="n">
        <x:f>IF(E11&gt;0,INT(100/E11),"-")</x:f>
        <x:v>1</x:v>
      </x:c>
      <x:c r="L11" s="12" t="str">
        <x:v>보스 TTK는 Play Mode 실측</x:v>
      </x:c>
    </x:row>
    <x:row r="12" ht="15" hidden="0" customHeight="1">
      <x:c r="A12" s="12" t="n">
        <x:v>8</x:v>
      </x:c>
      <x:c r="B12" s="12" t="str">
        <x:v>최종 보스</x:v>
      </x:c>
      <x:c r="C12" s="12" t="str">
        <x:v>보스</x:v>
      </x:c>
      <x:c r="D12" s="12" t="n">
        <x:v>20000</x:v>
      </x:c>
      <x:c r="E12" s="12" t="n">
        <x:v>100</x:v>
      </x:c>
      <x:c r="F12" s="12" t="n">
        <x:v>2</x:v>
      </x:c>
      <x:c r="G12" s="12" t="n">
        <x:v>0</x:v>
      </x:c>
      <x:c r="H12" s="12"/>
      <x:c r="I12" s="12" t="n">
        <x:v>1</x:v>
      </x:c>
      <x:c r="J12" s="21" t="n">
        <x:v>900</x:v>
      </x:c>
      <x:c r="K12" s="12" t="n">
        <x:f>IF(E12&gt;0,INT(100/E12),"-")</x:f>
        <x:v>1</x:v>
      </x:c>
      <x:c r="L12" s="12" t="str">
        <x:v>보스 TTK는 Play Mode 실측</x:v>
      </x:c>
    </x:row>
    <x:row r="13" ht="15" hidden="0" customHeight="1">
      <x:c r="A13" s="12" t="n">
        <x:v>9</x:v>
      </x:c>
      <x:c r="B13" s="12" t="str">
        <x:v>강화 농부</x:v>
      </x:c>
      <x:c r="C13" s="12" t="str">
        <x:v>근거리</x:v>
      </x:c>
      <x:c r="D13" s="12" t="n">
        <x:v>420</x:v>
      </x:c>
      <x:c r="E13" s="12" t="n">
        <x:v>18</x:v>
      </x:c>
      <x:c r="F13" s="12" t="n">
        <x:v>1.3</x:v>
      </x:c>
      <x:c r="G13" s="12" t="n">
        <x:v>8</x:v>
      </x:c>
      <x:c r="H13" s="12"/>
      <x:c r="I13" s="12"/>
      <x:c r="J13" s="21"/>
      <x:c r="K13" s="12" t="n">
        <x:f>IF(E13&gt;0,INT(100/E13),"-")</x:f>
        <x:v>5</x:v>
      </x:c>
      <x:c r="L13" s="12" t="str">
        <x:v>밀도 증가 대상</x:v>
      </x:c>
    </x:row>
    <x:row r="14" ht="15" hidden="0" customHeight="1">
      <x:c r="A14" s="12" t="n">
        <x:v>10</x:v>
      </x:c>
      <x:c r="B14" s="12" t="str">
        <x:v>강화 귀족</x:v>
      </x:c>
      <x:c r="C14" s="12" t="str">
        <x:v>근거리</x:v>
      </x:c>
      <x:c r="D14" s="12" t="n">
        <x:v>650</x:v>
      </x:c>
      <x:c r="E14" s="12" t="n">
        <x:v>22</x:v>
      </x:c>
      <x:c r="F14" s="12" t="n">
        <x:v>2</x:v>
      </x:c>
      <x:c r="G14" s="12" t="n">
        <x:v>12</x:v>
      </x:c>
      <x:c r="H14" s="12"/>
      <x:c r="I14" s="12"/>
      <x:c r="J14" s="21"/>
      <x:c r="K14" s="12" t="n">
        <x:f>IF(E14&gt;0,INT(100/E14),"-")</x:f>
        <x:v>4</x:v>
      </x:c>
      <x:c r="L14" s="12" t="str">
        <x:v>밀도 증가 대상</x:v>
      </x:c>
    </x:row>
    <x:row r="15" ht="15" hidden="0" customHeight="1">
      <x:c r="A15" s="12" t="n">
        <x:v>11</x:v>
      </x:c>
      <x:c r="B15" s="12" t="str">
        <x:v>강화 학생</x:v>
      </x:c>
      <x:c r="C15" s="12" t="str">
        <x:v>근거리</x:v>
      </x:c>
      <x:c r="D15" s="12" t="n">
        <x:v>900</x:v>
      </x:c>
      <x:c r="E15" s="12" t="n">
        <x:v>25</x:v>
      </x:c>
      <x:c r="F15" s="12" t="n">
        <x:v>2.7</x:v>
      </x:c>
      <x:c r="G15" s="12" t="n">
        <x:v>16</x:v>
      </x:c>
      <x:c r="H15" s="12"/>
      <x:c r="I15" s="12"/>
      <x:c r="J15" s="21"/>
      <x:c r="K15" s="12" t="n">
        <x:f>IF(E15&gt;0,INT(100/E15),"-")</x:f>
        <x:v>4</x:v>
      </x:c>
      <x:c r="L15" s="12" t="str">
        <x:v>밀도 증가 대상</x:v>
      </x:c>
    </x:row>
    <x:row r="16" ht="15" hidden="0" customHeight="1">
      <x:c r="A16" s="12" t="n">
        <x:v>12</x:v>
      </x:c>
      <x:c r="B16" s="12" t="str">
        <x:v>후반 탱커</x:v>
      </x:c>
      <x:c r="C16" s="12" t="str">
        <x:v>근거리</x:v>
      </x:c>
      <x:c r="D16" s="12" t="n">
        <x:v>1600</x:v>
      </x:c>
      <x:c r="E16" s="12" t="n">
        <x:v>35</x:v>
      </x:c>
      <x:c r="F16" s="12" t="n">
        <x:v>1</x:v>
      </x:c>
      <x:c r="G16" s="12" t="n">
        <x:v>28</x:v>
      </x:c>
      <x:c r="H16" s="12"/>
      <x:c r="I16" s="12"/>
      <x:c r="J16" s="21"/>
      <x:c r="K16" s="12" t="n">
        <x:f>IF(E16&gt;0,INT(100/E16),"-")</x:f>
        <x:v>2</x:v>
      </x:c>
      <x:c r="L16" s="12" t="str">
        <x:v>밀도 증가 대상</x:v>
      </x:c>
    </x:row>
    <x:row r="17" ht="15" hidden="0" customHeight="1">
      <x:c r="A17" s="12" t="n">
        <x:v>13</x:v>
      </x:c>
      <x:c r="B17" s="12" t="str">
        <x:v>후반 마법사</x:v>
      </x:c>
      <x:c r="C17" s="12" t="str">
        <x:v>원거리</x:v>
      </x:c>
      <x:c r="D17" s="12" t="n">
        <x:v>800</x:v>
      </x:c>
      <x:c r="E17" s="12" t="n">
        <x:v>18</x:v>
      </x:c>
      <x:c r="F17" s="12" t="n">
        <x:v>1.2</x:v>
      </x:c>
      <x:c r="G17" s="12" t="n">
        <x:v>15</x:v>
      </x:c>
      <x:c r="H17" s="12" t="n">
        <x:v>6</x:v>
      </x:c>
      <x:c r="I17" s="12" t="n">
        <x:v>1</x:v>
      </x:c>
      <x:c r="J17" s="21"/>
      <x:c r="K17" s="12" t="n">
        <x:f>IF(E17&gt;0,INT(100/E17),"-")</x:f>
        <x:v>5</x:v>
      </x:c>
      <x:c r="L17" s="12" t="str">
        <x:v>동시 목표 상한 유지</x:v>
      </x:c>
    </x:row>
    <x:row r="18"/>
    <x:row r="19"/>
    <x:row r="20"/>
    <x:row r="21"/>
    <x:row r="22"/>
    <x:row r="23"/>
    <x:row r="24"/>
    <x:row r="25"/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8010b5ff45d04006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2" hidden="0" customWidth="1"/>
    <x:col min="3" max="3" width="32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5" hidden="0" customWidth="1"/>
  </x:cols>
  <x:sheetData>
    <x:row r="1" ht="21.600000381469727" hidden="0" customHeight="1">
      <x:c r="A1" s="3" t="str">
        <x:v>경제 흐름 검증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6" t="str">
        <x:v>골드는 체력·경험치·상점 재화입니다. 셋 중 하나만 최적화하면 게임이 불쾌해집니다.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/>
    <x:row r="4" ht="15" hidden="0" customHeight="1">
      <x:c r="A4" s="15" t="str">
        <x:v>구간</x:v>
      </x:c>
      <x:c r="B4" s="15" t="str">
        <x:v>누적 획득 목표G</x:v>
      </x:c>
      <x:c r="C4" s="15" t="str">
        <x:v>상점 레벨 목표</x:v>
      </x:c>
      <x:c r="D4" s="15" t="str">
        <x:v>진입비 범위</x:v>
      </x:c>
      <x:c r="E4" s="15" t="str">
        <x:v>Common 구매비</x:v>
      </x:c>
      <x:c r="F4" s="15" t="str">
        <x:v>최소 생존선</x:v>
      </x:c>
      <x:c r="G4" s="15" t="str">
        <x:v>보스 보상</x:v>
      </x:c>
      <x:c r="H4" s="15" t="str">
        <x:v>실측 획득G</x:v>
      </x:c>
      <x:c r="I4" s="15" t="str">
        <x:v>실측 상점 후G</x:v>
      </x:c>
      <x:c r="J4" s="15" t="str">
        <x:v>판정</x:v>
      </x:c>
    </x:row>
    <x:row r="5" ht="15" hidden="0" customHeight="1">
      <x:c r="A5" s="12" t="str">
        <x:v>0~4분</x:v>
      </x:c>
      <x:c r="B5" s="12" t="n">
        <x:v>300</x:v>
      </x:c>
      <x:c r="C5" s="12" t="str">
        <x:v>3~4</x:v>
      </x:c>
      <x:c r="D5" s="12" t="str">
        <x:v>5~16</x:v>
      </x:c>
      <x:c r="E5" s="12" t="n">
        <x:v>10</x:v>
      </x:c>
      <x:c r="F5" s="12" t="n">
        <x:v>40</x:v>
      </x:c>
      <x:c r="G5" s="12" t="n">
        <x:v>80</x:v>
      </x:c>
      <x:c r="H5" s="16"/>
      <x:c r="I5" s="16"/>
      <x:c r="J5" s="12" t="str">
        <x:f>IF(OR(H5="",I5=""),"미측정",IF(AND(H5&gt;=B5,I5&gt;=F5),"목표 범위","재조정"))</x:f>
        <x:v>미측정</x:v>
      </x:c>
    </x:row>
    <x:row r="6" ht="15" hidden="0" customHeight="1">
      <x:c r="A6" s="12" t="str">
        <x:v>4~8분</x:v>
      </x:c>
      <x:c r="B6" s="12" t="n">
        <x:v>750</x:v>
      </x:c>
      <x:c r="C6" s="12" t="str">
        <x:v>5~6</x:v>
      </x:c>
      <x:c r="D6" s="12" t="str">
        <x:v>21~28</x:v>
      </x:c>
      <x:c r="E6" s="12" t="n">
        <x:v>10</x:v>
      </x:c>
      <x:c r="F6" s="12" t="n">
        <x:v>40</x:v>
      </x:c>
      <x:c r="G6" s="12" t="n">
        <x:v>140</x:v>
      </x:c>
      <x:c r="H6" s="16"/>
      <x:c r="I6" s="16"/>
      <x:c r="J6" s="12" t="str">
        <x:f>IF(OR(H6="",I6=""),"미측정",IF(AND(H6&gt;=B6,I6&gt;=F6),"목표 범위","재조정"))</x:f>
        <x:v>미측정</x:v>
      </x:c>
    </x:row>
    <x:row r="7" ht="15" hidden="0" customHeight="1">
      <x:c r="A7" s="12" t="str">
        <x:v>8~12분</x:v>
      </x:c>
      <x:c r="B7" s="12" t="n">
        <x:v>1400</x:v>
      </x:c>
      <x:c r="C7" s="12" t="str">
        <x:v>7~8</x:v>
      </x:c>
      <x:c r="D7" s="12" t="str">
        <x:v>35~44</x:v>
      </x:c>
      <x:c r="E7" s="12" t="n">
        <x:v>10</x:v>
      </x:c>
      <x:c r="F7" s="12" t="n">
        <x:v>40</x:v>
      </x:c>
      <x:c r="G7" s="12" t="n">
        <x:v>220</x:v>
      </x:c>
      <x:c r="H7" s="16"/>
      <x:c r="I7" s="16"/>
      <x:c r="J7" s="12" t="str">
        <x:f>IF(OR(H7="",I7=""),"미측정",IF(AND(H7&gt;=B7,I7&gt;=F7),"목표 범위","재조정"))</x:f>
        <x:v>미측정</x:v>
      </x:c>
    </x:row>
    <x:row r="8" ht="15" hidden="0" customHeight="1">
      <x:c r="A8" s="12" t="str">
        <x:v>12~15분</x:v>
      </x:c>
      <x:c r="B8" s="12" t="n">
        <x:v>2250</x:v>
      </x:c>
      <x:c r="C8" s="12" t="str">
        <x:v>9~10</x:v>
      </x:c>
      <x:c r="D8" s="12" t="str">
        <x:v>53~64</x:v>
      </x:c>
      <x:c r="E8" s="12" t="n">
        <x:v>10</x:v>
      </x:c>
      <x:c r="F8" s="12" t="n">
        <x:v>40</x:v>
      </x:c>
      <x:c r="G8" s="12" t="str">
        <x:v>최종 50 다이아</x:v>
      </x:c>
      <x:c r="H8" s="16"/>
      <x:c r="I8" s="16"/>
      <x:c r="J8" s="12" t="str">
        <x:f>IF(OR(H8="",I8=""),"미측정",IF(AND(H8&gt;=B8,I8&gt;=F8),"목표 범위","재조정"))</x:f>
        <x:v>미측정</x:v>
      </x:c>
    </x:row>
    <x:row r="9"/>
    <x:row r="10"/>
    <x:row r="11" ht="15" hidden="0" customHeight="1">
      <x:c r="A11" s="8" t="str">
        <x:v>경제 안전 규칙</x:v>
      </x:c>
      <x:c r="B11" s="8"/>
      <x:c r="C11" s="8"/>
      <x:c r="D11" s="8"/>
      <x:c r="E11" s="8"/>
      <x:c r="F11" s="8"/>
      <x:c r="G11" s="8"/>
      <x:c r="H11" s="8"/>
      <x:c r="I11" s="8"/>
      <x:c r="J11" s="8"/>
    </x:row>
    <x:row r="12" ht="15" hidden="0" customHeight="1">
      <x:c r="A12" s="15" t="str">
        <x:v>규칙</x:v>
      </x:c>
      <x:c r="B12" s="15" t="str">
        <x:v>수식/기준</x:v>
      </x:c>
      <x:c r="C12" s="15" t="str">
        <x:v>이유</x:v>
      </x:c>
      <x:c r="D12" s="15" t="str">
        <x:v>현재 구현</x:v>
      </x:c>
    </x:row>
    <x:row r="13" ht="15" hidden="0" customHeight="1">
      <x:c r="A13" s="12" t="str">
        <x:v>상점 진입</x:v>
      </x:c>
      <x:c r="B13" s="12" t="str">
        <x:v>누적 진행 충족 AND 현재G-진입비&gt;=40</x:v>
      </x:c>
      <x:c r="C13" s="12" t="str">
        <x:v>경험치 문턱과 생존 문턱 분리</x:v>
      </x:c>
      <x:c r="D13" s="12" t="str">
        <x:v>반영</x:v>
      </x:c>
    </x:row>
    <x:row r="14" ht="15" hidden="0" customHeight="1">
      <x:c r="A14" s="12" t="str">
        <x:v>아이템 구매</x:v>
      </x:c>
      <x:c r="B14" s="12" t="str">
        <x:v>기존 아이템 합성 우선, 없으면 빈칸</x:v>
      </x:c>
      <x:c r="C14" s="12" t="str">
        <x:v>빈칸 부족 때문에 합성 기회 차단 금지</x:v>
      </x:c>
      <x:c r="D14" s="12" t="str">
        <x:v>반영</x:v>
      </x:c>
    </x:row>
    <x:row r="15" ht="24" hidden="0" customHeight="1">
      <x:c r="A15" s="12" t="str">
        <x:v>판매</x:v>
      </x:c>
      <x:c r="B15" s="12" t="str">
        <x:v>현재G+판매가&lt;=최대G</x:v>
      </x:c>
      <x:c r="C15" s="12" t="str">
        <x:v>한도 클램프로 아이템만 사라지는 손실 금지</x:v>
      </x:c>
      <x:c r="D15" s="12" t="str">
        <x:v>반영</x:v>
      </x:c>
    </x:row>
    <x:row r="16" ht="15" hidden="0" customHeight="1">
      <x:c r="A16" s="12" t="str">
        <x:v>상자</x:v>
      </x:c>
      <x:c r="B16" s="12" t="str">
        <x:v>모든 후보 배치 실패 시 10 다이아</x:v>
      </x:c>
      <x:c r="C16" s="12" t="str">
        <x:v>100 다이아 과보상 방지</x:v>
      </x:c>
      <x:c r="D16" s="12" t="str">
        <x:v>반영</x:v>
      </x:c>
    </x:row>
    <x:row r="17" ht="15" hidden="0" customHeight="1">
      <x:c r="A17" s="12" t="str">
        <x:v>이자</x:v>
      </x:c>
      <x:c r="B17" s="12" t="str">
        <x:v>상점 true→false 전이당 1회</x:v>
      </x:c>
      <x:c r="C17" s="12" t="str">
        <x:v>중복 닫기 이벤트로 중복 지급 금지</x:v>
      </x:c>
      <x:c r="D17" s="12" t="str">
        <x:v>반영</x:v>
      </x:c>
    </x:row>
    <x:row r="18"/>
  </x:sheetData>
  <x:mergeCells>
    <x:mergeCell ref="A1:J1"/>
    <x:mergeCell ref="A2:J2"/>
    <x:mergeCell ref="A11:J11"/>
  </x:mergeCells>
  <x:conditionalFormatting sqref="J5:J8">
    <x:cfRule type="containsText" dxfId="2" priority="1" operator="containsText" text="재조정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5" hidden="0" customWidth="1"/>
    <x:col min="10" max="10" width="23" hidden="0" customWidth="1"/>
  </x:cols>
  <x:sheetData>
    <x:row r="1" ht="21.600000381469727" hidden="0" customHeight="1">
      <x:c r="A1" s="3" t="str">
        <x:v>인벤토리 칸·합성·판매 경제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6" t="str">
        <x:v>초반은 싸게 열고 후반 선택은 가파르게 만듭니다. 동일 패시브는 Common 환산 4개가 절대 상한입니다.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/>
    <x:row r="4" ht="15" hidden="0" customHeight="1">
      <x:c r="A4" s="15" t="str">
        <x:v>확장 단계</x:v>
      </x:c>
      <x:c r="B4" s="15" t="n">
        <x:v>1</x:v>
      </x:c>
      <x:c r="C4" s="15" t="n">
        <x:v>2</x:v>
      </x:c>
      <x:c r="D4" s="15" t="n">
        <x:v>3</x:v>
      </x:c>
      <x:c r="E4" s="15" t="n">
        <x:v>4</x:v>
      </x:c>
      <x:c r="F4" s="15" t="n">
        <x:v>5</x:v>
      </x:c>
      <x:c r="G4" s="15" t="n">
        <x:v>6</x:v>
      </x:c>
      <x:c r="H4" s="15" t="n">
        <x:v>7</x:v>
      </x:c>
      <x:c r="I4" s="15" t="str">
        <x:v>누적 비용</x:v>
      </x:c>
      <x:c r="J4" s="15" t="str">
        <x:v>의도</x:v>
      </x:c>
    </x:row>
    <x:row r="5" ht="24" hidden="0" customHeight="1">
      <x:c r="A5" s="12" t="str">
        <x:v>비용</x:v>
      </x:c>
      <x:c r="B5" s="12" t="n">
        <x:v>5</x:v>
      </x:c>
      <x:c r="C5" s="12" t="n">
        <x:v>10</x:v>
      </x:c>
      <x:c r="D5" s="12" t="n">
        <x:v>20</x:v>
      </x:c>
      <x:c r="E5" s="12" t="n">
        <x:v>45</x:v>
      </x:c>
      <x:c r="F5" s="12" t="n">
        <x:v>90</x:v>
      </x:c>
      <x:c r="G5" s="12" t="n">
        <x:v>180</x:v>
      </x:c>
      <x:c r="H5" s="12" t="n">
        <x:v>360</x:v>
      </x:c>
      <x:c r="I5" s="12" t="n">
        <x:f>SUM(B5:H5)</x:f>
        <x:v>710</x:v>
      </x:c>
      <x:c r="J5" s="12" t="str">
        <x:v>초반 선택 허용, 후반 기회비용</x:v>
      </x:c>
    </x:row>
    <x:row r="6"/>
    <x:row r="7"/>
    <x:row r="8" ht="15" hidden="0" customHeight="1">
      <x:c r="A8" s="8" t="str">
        <x:v>아이템·패시브 합성 단가</x:v>
      </x:c>
      <x:c r="B8" s="8"/>
      <x:c r="C8" s="8"/>
      <x:c r="D8" s="8"/>
      <x:c r="E8" s="8"/>
      <x:c r="F8" s="8"/>
      <x:c r="G8" s="8"/>
      <x:c r="H8" s="8"/>
      <x:c r="I8" s="8"/>
      <x:c r="J8" s="8"/>
    </x:row>
    <x:row r="9" ht="24" hidden="0" customHeight="1">
      <x:c r="A9" s="15" t="str">
        <x:v>등급</x:v>
      </x:c>
      <x:c r="B9" s="15" t="str">
        <x:v>레벨 인덱스</x:v>
      </x:c>
      <x:c r="C9" s="15" t="str">
        <x:v>Common 환산 수</x:v>
      </x:c>
      <x:c r="D9" s="15" t="str">
        <x:v>상점에서 필요한 Common 수</x:v>
      </x:c>
      <x:c r="E9" s="15" t="str">
        <x:v>현재 비용 값</x:v>
      </x:c>
      <x:c r="F9" s="15" t="str">
        <x:v>판매가(50%)</x:v>
      </x:c>
      <x:c r="G9" s="15" t="str">
        <x:v>누적 구매 원가</x:v>
      </x:c>
      <x:c r="H9" s="15" t="str">
        <x:v>판매 회수율</x:v>
      </x:c>
      <x:c r="I9" s="15" t="str">
        <x:v>구매 허용</x:v>
      </x:c>
      <x:c r="J9" s="15" t="str">
        <x:v>비고</x:v>
      </x:c>
    </x:row>
    <x:row r="10" ht="15" hidden="0" customHeight="1">
      <x:c r="A10" s="12" t="str">
        <x:v>Common</x:v>
      </x:c>
      <x:c r="B10" s="12" t="n">
        <x:v>0</x:v>
      </x:c>
      <x:c r="C10" s="12" t="n">
        <x:v>1</x:v>
      </x:c>
      <x:c r="D10" s="12" t="n">
        <x:v>1</x:v>
      </x:c>
      <x:c r="E10" s="12" t="n">
        <x:v>10</x:v>
      </x:c>
      <x:c r="F10" s="12" t="n">
        <x:f>E10*0.5</x:f>
        <x:v>5</x:v>
      </x:c>
      <x:c r="G10" s="12" t="n">
        <x:v>10</x:v>
      </x:c>
      <x:c r="H10" s="18" t="n">
        <x:f>F10/G10</x:f>
        <x:v>0.5</x:v>
      </x:c>
      <x:c r="I10" s="12" t="str">
        <x:v>허용</x:v>
      </x:c>
      <x:c r="J10" s="12" t="str">
        <x:v>첫 구매</x:v>
      </x:c>
    </x:row>
    <x:row r="11" ht="15" hidden="0" customHeight="1">
      <x:c r="A11" s="12" t="str">
        <x:v>Rare</x:v>
      </x:c>
      <x:c r="B11" s="12" t="n">
        <x:v>1</x:v>
      </x:c>
      <x:c r="C11" s="12" t="n">
        <x:v>2</x:v>
      </x:c>
      <x:c r="D11" s="12" t="n">
        <x:v>2</x:v>
      </x:c>
      <x:c r="E11" s="12" t="n">
        <x:v>20</x:v>
      </x:c>
      <x:c r="F11" s="12" t="n">
        <x:f>E11*0.5</x:f>
        <x:v>10</x:v>
      </x:c>
      <x:c r="G11" s="12" t="n">
        <x:v>20</x:v>
      </x:c>
      <x:c r="H11" s="18" t="n">
        <x:f>F11/G11</x:f>
        <x:v>0.5</x:v>
      </x:c>
      <x:c r="I11" s="12" t="str">
        <x:v>허용</x:v>
      </x:c>
      <x:c r="J11" s="12" t="str">
        <x:v>동일 2개 합성</x:v>
      </x:c>
    </x:row>
    <x:row r="12" ht="15" hidden="0" customHeight="1">
      <x:c r="A12" s="12" t="str">
        <x:v>Epic</x:v>
      </x:c>
      <x:c r="B12" s="12" t="n">
        <x:v>2</x:v>
      </x:c>
      <x:c r="C12" s="12" t="n">
        <x:v>4</x:v>
      </x:c>
      <x:c r="D12" s="12" t="n">
        <x:v>4</x:v>
      </x:c>
      <x:c r="E12" s="12" t="n">
        <x:v>40</x:v>
      </x:c>
      <x:c r="F12" s="12" t="n">
        <x:f>E12*0.5</x:f>
        <x:v>20</x:v>
      </x:c>
      <x:c r="G12" s="12" t="n">
        <x:v>40</x:v>
      </x:c>
      <x:c r="H12" s="18" t="n">
        <x:f>F12/G12</x:f>
        <x:v>0.5</x:v>
      </x:c>
      <x:c r="I12" s="12" t="str">
        <x:v>상한</x:v>
      </x:c>
      <x:c r="J12" s="12" t="str">
        <x:v>동일 4개 합성</x:v>
      </x:c>
    </x:row>
    <x:row r="13" ht="15" hidden="0" customHeight="1">
      <x:c r="A13" s="12" t="str">
        <x:v>진화 무기</x:v>
      </x:c>
      <x:c r="B13" s="12" t="n">
        <x:v>3</x:v>
      </x:c>
      <x:c r="C13" s="12" t="n">
        <x:v>4</x:v>
      </x:c>
      <x:c r="D13" s="12" t="n">
        <x:v>4</x:v>
      </x:c>
      <x:c r="E13" s="12" t="n">
        <x:v>80</x:v>
      </x:c>
      <x:c r="F13" s="12" t="n">
        <x:f>E13*0.5</x:f>
        <x:v>40</x:v>
      </x:c>
      <x:c r="G13" s="12" t="n">
        <x:v>40</x:v>
      </x:c>
      <x:c r="H13" s="18" t="n">
        <x:f>F13/G13</x:f>
        <x:v>1</x:v>
      </x:c>
      <x:c r="I13" s="12" t="str">
        <x:v>무기만</x:v>
      </x:c>
      <x:c r="J13" s="12" t="str">
        <x:v>진화 분류 별도</x:v>
      </x:c>
    </x:row>
    <x:row r="14"/>
    <x:row r="15"/>
    <x:row r="16" ht="15" hidden="0" customHeight="1">
      <x:c r="A16" s="8" t="str">
        <x:v>무기별 인벤토리 점유</x:v>
      </x:c>
      <x:c r="B16" s="8"/>
      <x:c r="C16" s="8"/>
      <x:c r="D16" s="8"/>
      <x:c r="E16" s="8"/>
      <x:c r="F16" s="8"/>
      <x:c r="G16" s="8"/>
      <x:c r="H16" s="8"/>
      <x:c r="I16" s="8"/>
      <x:c r="J16" s="8"/>
    </x:row>
    <x:row r="17" ht="15" hidden="0" customHeight="1">
      <x:c r="A17" s="15" t="str">
        <x:v>ID</x:v>
      </x:c>
      <x:c r="B17" s="15" t="str">
        <x:v>무기</x:v>
      </x:c>
      <x:c r="C17" s="15" t="str">
        <x:v>가로</x:v>
      </x:c>
      <x:c r="D17" s="15" t="str">
        <x:v>세로</x:v>
      </x:c>
      <x:c r="E17" s="15" t="str">
        <x:v>점유 칸</x:v>
      </x:c>
      <x:c r="F17" s="15" t="str">
        <x:v>Common 가격</x:v>
      </x:c>
      <x:c r="G17" s="15" t="str">
        <x:v>칸당 가격</x:v>
      </x:c>
      <x:c r="H17" s="15" t="str">
        <x:v>최대 합성 원가</x:v>
      </x:c>
      <x:c r="I17" s="15" t="str">
        <x:v>최대 판매가</x:v>
      </x:c>
      <x:c r="J17" s="15" t="str">
        <x:v>선택 압력</x:v>
      </x:c>
    </x:row>
    <x:row r="18" ht="15" hidden="0" customHeight="1">
      <x:c r="A18" s="12" t="n">
        <x:v>9201</x:v>
      </x:c>
      <x:c r="B18" s="12" t="str">
        <x:v>도끼</x:v>
      </x:c>
      <x:c r="C18" s="12" t="n">
        <x:v>1</x:v>
      </x:c>
      <x:c r="D18" s="12" t="n">
        <x:v>3</x:v>
      </x:c>
      <x:c r="E18" s="12" t="n">
        <x:f>C18*D18</x:f>
        <x:v>3</x:v>
      </x:c>
      <x:c r="F18" s="12" t="n">
        <x:v>10</x:v>
      </x:c>
      <x:c r="G18" s="22" t="n">
        <x:f>F18/E18</x:f>
        <x:v>3.3333333333333335</x:v>
      </x:c>
      <x:c r="H18" s="12" t="n">
        <x:v>40</x:v>
      </x:c>
      <x:c r="I18" s="12" t="n">
        <x:v>40</x:v>
      </x:c>
      <x:c r="J18" s="12" t="str">
        <x:v>세로 3칸</x:v>
      </x:c>
    </x:row>
    <x:row r="19" ht="15" hidden="0" customHeight="1">
      <x:c r="A19" s="12" t="n">
        <x:v>9202</x:v>
      </x:c>
      <x:c r="B19" s="12" t="str">
        <x:v>아이스크림</x:v>
      </x:c>
      <x:c r="C19" s="12" t="n">
        <x:v>3</x:v>
      </x:c>
      <x:c r="D19" s="12" t="n">
        <x:v>2</x:v>
      </x:c>
      <x:c r="E19" s="12" t="n">
        <x:f>C19*D19</x:f>
        <x:v>6</x:v>
      </x:c>
      <x:c r="F19" s="12" t="n">
        <x:v>10</x:v>
      </x:c>
      <x:c r="G19" s="22" t="n">
        <x:f>F19/E19</x:f>
        <x:v>1.6666666666666667</x:v>
      </x:c>
      <x:c r="H19" s="12" t="n">
        <x:v>40</x:v>
      </x:c>
      <x:c r="I19" s="12" t="n">
        <x:v>40</x:v>
      </x:c>
      <x:c r="J19" s="12" t="str">
        <x:v>6칸 고비용</x:v>
      </x:c>
    </x:row>
    <x:row r="20" ht="15" hidden="0" customHeight="1">
      <x:c r="A20" s="12" t="n">
        <x:v>9203</x:v>
      </x:c>
      <x:c r="B20" s="12" t="str">
        <x:v>동전지갑</x:v>
      </x:c>
      <x:c r="C20" s="12" t="n">
        <x:v>3</x:v>
      </x:c>
      <x:c r="D20" s="12" t="n">
        <x:v>2</x:v>
      </x:c>
      <x:c r="E20" s="12" t="n">
        <x:f>C20*D20</x:f>
        <x:v>6</x:v>
      </x:c>
      <x:c r="F20" s="12" t="n">
        <x:v>10</x:v>
      </x:c>
      <x:c r="G20" s="22" t="n">
        <x:f>F20/E20</x:f>
        <x:v>1.6666666666666667</x:v>
      </x:c>
      <x:c r="H20" s="12" t="n">
        <x:v>40</x:v>
      </x:c>
      <x:c r="I20" s="12" t="n">
        <x:v>40</x:v>
      </x:c>
      <x:c r="J20" s="12" t="str">
        <x:v>6칸 고비용</x:v>
      </x:c>
    </x:row>
    <x:row r="21" ht="15" hidden="0" customHeight="1">
      <x:c r="A21" s="12" t="n">
        <x:v>9204</x:v>
      </x:c>
      <x:c r="B21" s="12" t="str">
        <x:v>지폐</x:v>
      </x:c>
      <x:c r="C21" s="12" t="n">
        <x:v>2</x:v>
      </x:c>
      <x:c r="D21" s="12" t="n">
        <x:v>1</x:v>
      </x:c>
      <x:c r="E21" s="12" t="n">
        <x:f>C21*D21</x:f>
        <x:v>2</x:v>
      </x:c>
      <x:c r="F21" s="12" t="n">
        <x:v>10</x:v>
      </x:c>
      <x:c r="G21" s="22" t="n">
        <x:f>F21/E21</x:f>
        <x:v>5</x:v>
      </x:c>
      <x:c r="H21" s="12" t="n">
        <x:v>40</x:v>
      </x:c>
      <x:c r="I21" s="12" t="n">
        <x:v>40</x:v>
      </x:c>
      <x:c r="J21" s="12" t="str">
        <x:v>효율적 2칸</x:v>
      </x:c>
    </x:row>
    <x:row r="22" ht="15" hidden="0" customHeight="1">
      <x:c r="A22" s="12" t="n">
        <x:v>9205</x:v>
      </x:c>
      <x:c r="B22" s="12" t="str">
        <x:v>벼락</x:v>
      </x:c>
      <x:c r="C22" s="12" t="n">
        <x:v>1</x:v>
      </x:c>
      <x:c r="D22" s="12" t="n">
        <x:v>3</x:v>
      </x:c>
      <x:c r="E22" s="12" t="n">
        <x:f>C22*D22</x:f>
        <x:v>3</x:v>
      </x:c>
      <x:c r="F22" s="12" t="n">
        <x:v>10</x:v>
      </x:c>
      <x:c r="G22" s="22" t="n">
        <x:f>F22/E22</x:f>
        <x:v>3.3333333333333335</x:v>
      </x:c>
      <x:c r="H22" s="12" t="n">
        <x:v>40</x:v>
      </x:c>
      <x:c r="I22" s="12" t="n">
        <x:v>40</x:v>
      </x:c>
      <x:c r="J22" s="12" t="str">
        <x:v>세로 3칸</x:v>
      </x:c>
    </x:row>
    <x:row r="23" ht="15" hidden="0" customHeight="1">
      <x:c r="A23" s="12" t="n">
        <x:v>9206</x:v>
      </x:c>
      <x:c r="B23" s="12" t="str">
        <x:v>돗방석</x:v>
      </x:c>
      <x:c r="C23" s="12" t="n">
        <x:v>2</x:v>
      </x:c>
      <x:c r="D23" s="12" t="n">
        <x:v>2</x:v>
      </x:c>
      <x:c r="E23" s="12" t="n">
        <x:f>C23*D23</x:f>
        <x:v>4</x:v>
      </x:c>
      <x:c r="F23" s="12" t="n">
        <x:v>10</x:v>
      </x:c>
      <x:c r="G23" s="22" t="n">
        <x:f>F23/E23</x:f>
        <x:v>2.5</x:v>
      </x:c>
      <x:c r="H23" s="12" t="n">
        <x:v>40</x:v>
      </x:c>
      <x:c r="I23" s="12" t="n">
        <x:v>40</x:v>
      </x:c>
      <x:c r="J23" s="12" t="str">
        <x:v>4칸 범위</x:v>
      </x:c>
    </x:row>
  </x:sheetData>
  <x:mergeCells>
    <x:mergeCell ref="A1:J1"/>
    <x:mergeCell ref="A2:J2"/>
    <x:mergeCell ref="A8:J8"/>
    <x:mergeCell ref="A16:J1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4" hidden="0" customWidth="1"/>
    <x:col min="5" max="5" width="38" hidden="0" customWidth="1"/>
    <x:col min="6" max="6" width="13" hidden="0" customWidth="1"/>
    <x:col min="7" max="7" width="14" hidden="0" customWidth="1"/>
    <x:col min="8" max="8" width="14" hidden="0" customWidth="1"/>
    <x:col min="9" max="9" width="14" hidden="0" customWidth="1"/>
    <x:col min="10" max="10" width="25" hidden="0" customWidth="1"/>
    <x:col min="11" max="11" width="25" hidden="0" customWidth="1"/>
  </x:cols>
  <x:sheetData>
    <x:row r="1" ht="21.600000381469727" hidden="0" customHeight="1">
      <x:c r="A1" s="3" t="str">
        <x:v>패시브 시너지와 조건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15" hidden="0" customHeight="1">
      <x:c r="A2" s="6" t="str">
        <x:v>패시브는 현재 장착 등급 1개만 적용됩니다. 동일 패시브 구매 한도는 Common 환산 4개입니다.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/>
    <x:row r="4" ht="15" hidden="0" customHeight="1">
      <x:c r="A4" s="15" t="str">
        <x:v>ID</x:v>
      </x:c>
      <x:c r="B4" s="15" t="str">
        <x:v>한글 역할</x:v>
      </x:c>
      <x:c r="C4" s="15" t="str">
        <x:v>발동 축</x:v>
      </x:c>
      <x:c r="D4" s="15" t="str">
        <x:v>Common</x:v>
      </x:c>
      <x:c r="E4" s="15" t="str">
        <x:v>Rare</x:v>
      </x:c>
      <x:c r="F4" s="15" t="str">
        <x:v>Epic</x:v>
      </x:c>
      <x:c r="G4" s="15" t="str">
        <x:v>조건 Common</x:v>
      </x:c>
      <x:c r="H4" s="15" t="str">
        <x:v>조건 Rare</x:v>
      </x:c>
      <x:c r="I4" s="15" t="str">
        <x:v>조건 Epic</x:v>
      </x:c>
      <x:c r="J4" s="15" t="str">
        <x:v>위험</x:v>
      </x:c>
      <x:c r="K4" s="15" t="str">
        <x:v>Play Mode 관찰</x:v>
      </x:c>
    </x:row>
    <x:row r="5" ht="15" hidden="0" customHeight="1">
      <x:c r="A5" s="12" t="n">
        <x:v>401</x:v>
      </x:c>
      <x:c r="B5" s="12" t="str">
        <x:v>광전사</x:v>
      </x:c>
      <x:c r="C5" s="12" t="str">
        <x:v>저골드 쿨감</x:v>
      </x:c>
      <x:c r="D5" s="12" t="str">
        <x:v>20%</x:v>
      </x:c>
      <x:c r="E5" s="12" t="str">
        <x:v>35%</x:v>
      </x:c>
      <x:c r="F5" s="12" t="str">
        <x:v>50%</x:v>
      </x:c>
      <x:c r="G5" s="12" t="str">
        <x:v>&lt;500G</x:v>
      </x:c>
      <x:c r="H5" s="12" t="str">
        <x:v>&lt;600G</x:v>
      </x:c>
      <x:c r="I5" s="12" t="str">
        <x:v>&lt;700G</x:v>
      </x:c>
      <x:c r="J5" s="12" t="str">
        <x:v>쿨감 총합 75% 상한</x:v>
      </x:c>
      <x:c r="K5" s="12" t="str">
        <x:v>피격·구매 후 즉시 갱신</x:v>
      </x:c>
    </x:row>
    <x:row r="6" ht="15" hidden="0" customHeight="1">
      <x:c r="A6" s="12" t="n">
        <x:v>402</x:v>
      </x:c>
      <x:c r="B6" s="12" t="str">
        <x:v>부자</x:v>
      </x:c>
      <x:c r="C6" s="12" t="str">
        <x:v>고골드 피해</x:v>
      </x:c>
      <x:c r="D6" s="12" t="str">
        <x:v>20%</x:v>
      </x:c>
      <x:c r="E6" s="12" t="str">
        <x:v>40%</x:v>
      </x:c>
      <x:c r="F6" s="12" t="str">
        <x:v>70%</x:v>
      </x:c>
      <x:c r="G6" s="12" t="str">
        <x:v>&gt;=100% Max</x:v>
      </x:c>
      <x:c r="H6" s="12" t="str">
        <x:v>&gt;=90% Max</x:v>
      </x:c>
      <x:c r="I6" s="12" t="str">
        <x:v>&gt;=80% Max</x:v>
      </x:c>
      <x:c r="J6" s="12" t="str">
        <x:v>초기 등급 사실상 만골드 조건</x:v>
      </x:c>
      <x:c r="K6" s="12" t="str">
        <x:v>성장 단계와 실제 발동</x:v>
      </x:c>
    </x:row>
    <x:row r="7" ht="15" hidden="0" customHeight="1">
      <x:c r="A7" s="12" t="n">
        <x:v>403</x:v>
      </x:c>
      <x:c r="B7" s="12" t="str">
        <x:v>복제</x:v>
      </x:c>
      <x:c r="C7" s="12" t="str">
        <x:v>추가 투사체</x:v>
      </x:c>
      <x:c r="D7" s="12" t="str">
        <x:v>+0</x:v>
      </x:c>
      <x:c r="E7" s="12" t="str">
        <x:v>+1</x:v>
      </x:c>
      <x:c r="F7" s="12" t="str">
        <x:v>+2</x:v>
      </x:c>
      <x:c r="G7" s="12" t="str">
        <x:v>없음</x:v>
      </x:c>
      <x:c r="H7" s="12" t="str">
        <x:v>없음</x:v>
      </x:c>
      <x:c r="I7" s="12" t="str">
        <x:v>없음</x:v>
      </x:c>
      <x:c r="J7" s="12" t="str">
        <x:v>프레임/투사체 폭증</x:v>
      </x:c>
      <x:c r="K7" s="12" t="str">
        <x:v>동시 투사체·1% low</x:v>
      </x:c>
    </x:row>
    <x:row r="8" ht="15" hidden="0" customHeight="1">
      <x:c r="A8" s="12" t="n">
        <x:v>404</x:v>
      </x:c>
      <x:c r="B8" s="12" t="str">
        <x:v>자석</x:v>
      </x:c>
      <x:c r="C8" s="12" t="str">
        <x:v>획득 범위</x:v>
      </x:c>
      <x:c r="D8" s="12" t="str">
        <x:v>+1.5</x:v>
      </x:c>
      <x:c r="E8" s="12" t="str">
        <x:v>+2.5</x:v>
      </x:c>
      <x:c r="F8" s="12" t="str">
        <x:v>+3.5</x:v>
      </x:c>
      <x:c r="G8" s="12" t="str">
        <x:v>없음</x:v>
      </x:c>
      <x:c r="H8" s="12" t="str">
        <x:v>없음</x:v>
      </x:c>
      <x:c r="I8" s="12" t="str">
        <x:v>없음</x:v>
      </x:c>
      <x:c r="J8" s="12" t="str">
        <x:v>기본 2.0과 합산</x:v>
      </x:c>
      <x:c r="K8" s="12" t="str">
        <x:v>노패시브/등급별 체감</x:v>
      </x:c>
    </x:row>
    <x:row r="9" ht="15" hidden="0" customHeight="1">
      <x:c r="A9" s="12" t="n">
        <x:v>405</x:v>
      </x:c>
      <x:c r="B9" s="12" t="str">
        <x:v>재사용</x:v>
      </x:c>
      <x:c r="C9" s="12" t="str">
        <x:v>상시 쿨감</x:v>
      </x:c>
      <x:c r="D9" s="12" t="str">
        <x:v>10%</x:v>
      </x:c>
      <x:c r="E9" s="12" t="str">
        <x:v>20%</x:v>
      </x:c>
      <x:c r="F9" s="12" t="str">
        <x:v>30%</x:v>
      </x:c>
      <x:c r="G9" s="12" t="str">
        <x:v>없음</x:v>
      </x:c>
      <x:c r="H9" s="12" t="str">
        <x:v>없음</x:v>
      </x:c>
      <x:c r="I9" s="12" t="str">
        <x:v>없음</x:v>
      </x:c>
      <x:c r="J9" s="12" t="str">
        <x:v>광전사와 합산</x:v>
      </x:c>
      <x:c r="K9" s="12" t="str">
        <x:v>Aura 포함 실제 주기</x:v>
      </x:c>
    </x:row>
    <x:row r="10"/>
    <x:row r="11"/>
    <x:row r="12" ht="15" hidden="0" customHeight="1">
      <x:c r="A12" s="8" t="str">
        <x:v>시너지 안전 예산</x:v>
      </x:c>
      <x:c r="B12" s="8"/>
      <x:c r="C12" s="8"/>
      <x:c r="D12" s="8"/>
      <x:c r="E12" s="8"/>
      <x:c r="F12" s="8"/>
      <x:c r="G12" s="8"/>
      <x:c r="H12" s="8"/>
      <x:c r="I12" s="8"/>
      <x:c r="J12" s="8"/>
      <x:c r="K12" s="8"/>
    </x:row>
    <x:row r="13" ht="15" hidden="0" customHeight="1">
      <x:c r="A13" s="15" t="str">
        <x:v>조합</x:v>
      </x:c>
      <x:c r="B13" s="15" t="str">
        <x:v>이론 상한</x:v>
      </x:c>
      <x:c r="C13" s="15" t="str">
        <x:v>코드 상한</x:v>
      </x:c>
      <x:c r="D13" s="15" t="str">
        <x:v>성능/가독성 위험</x:v>
      </x:c>
      <x:c r="E13" s="15" t="str">
        <x:v>허용 판정</x:v>
      </x:c>
    </x:row>
    <x:row r="14" ht="24" hidden="0" customHeight="1">
      <x:c r="A14" s="12" t="str">
        <x:v>광전사 Epic + 재사용 Epic</x:v>
      </x:c>
      <x:c r="B14" s="12" t="str">
        <x:v>80%</x:v>
      </x:c>
      <x:c r="C14" s="12" t="str">
        <x:v>75%</x:v>
      </x:c>
      <x:c r="D14" s="12" t="str">
        <x:v>공격 빈도 4배</x:v>
      </x:c>
      <x:c r="E14" s="12" t="str">
        <x:v>평균 55 / 1% low 45 이상일 때만 유지</x:v>
      </x:c>
    </x:row>
    <x:row r="15" ht="15" hidden="0" customHeight="1">
      <x:c r="A15" s="12" t="str">
        <x:v>복제 Epic + 다발 무기</x:v>
      </x:c>
      <x:c r="B15" s="12" t="str">
        <x:v>기본 +2</x:v>
      </x:c>
      <x:c r="C15" s="12" t="str">
        <x:v>무기별 추가</x:v>
      </x:c>
      <x:c r="D15" s="12" t="str">
        <x:v>투사체·충돌 급증</x:v>
      </x:c>
      <x:c r="E15" s="12" t="str">
        <x:v>화면 밖 피해 20% 이하 + 1% low</x:v>
      </x:c>
    </x:row>
    <x:row r="16" ht="15" hidden="0" customHeight="1">
      <x:c r="A16" s="12" t="str">
        <x:v>자석 Epic</x:v>
      </x:c>
      <x:c r="B16" s="12" t="str">
        <x:v>기본 2.0 + 3.5</x:v>
      </x:c>
      <x:c r="C16" s="12" t="str">
        <x:v>5.5</x:v>
      </x:c>
      <x:c r="D16" s="12" t="str">
        <x:v>드랍 이동량 증가</x:v>
      </x:c>
      <x:c r="E16" s="12" t="str">
        <x:v>노패시브와 명확한 차이만 유지</x:v>
      </x:c>
    </x:row>
    <x:row r="17" ht="15" hidden="0" customHeight="1">
      <x:c r="A17" s="12" t="str">
        <x:v>부자 Epic + 성장 공격</x:v>
      </x:c>
      <x:c r="B17" s="12" t="str">
        <x:v>+70%</x:v>
      </x:c>
      <x:c r="C17" s="12" t="str">
        <x:v>별도 곱/합 검증</x:v>
      </x:c>
      <x:c r="D17" s="12" t="str">
        <x:v>고골드 무쌍 가능</x:v>
      </x:c>
      <x:c r="E17" s="12" t="str">
        <x:v>보스 TTK 30초 미만이면 하향</x:v>
      </x:c>
    </x:row>
  </x:sheetData>
  <x:mergeCells>
    <x:mergeCell ref="A1:K1"/>
    <x:mergeCell ref="A2:K2"/>
    <x:mergeCell ref="A12:K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5" hidden="0" customWidth="1"/>
    <x:col min="4" max="4" width="36" hidden="0" customWidth="1"/>
    <x:col min="5" max="5" width="14" hidden="0" customWidth="1"/>
    <x:col min="6" max="6" width="16" hidden="0" customWidth="1"/>
    <x:col min="7" max="7" width="15" hidden="0" customWidth="1"/>
    <x:col min="8" max="8" width="15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1.600000381469727" hidden="0" customHeight="1">
      <x:c r="A1" s="3" t="str">
        <x:v>무기별 유효 사이클과 Play Mode DPS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15" hidden="0" customHeight="1">
      <x:c r="A2" s="6" t="str">
        <x:v>정적 프록시는 비교 보조일 뿐입니다. 최종 DPS는 새 텔레메트리의 10초 실측값으로만 판정합니다.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/>
    <x:row r="4" ht="15" hidden="0" customHeight="1">
      <x:c r="A4" s="15" t="str">
        <x:v>ID</x:v>
      </x:c>
      <x:c r="B4" s="15" t="str">
        <x:v>무기</x:v>
      </x:c>
      <x:c r="C4" s="15" t="str">
        <x:v>기본 피해</x:v>
      </x:c>
      <x:c r="D4" s="15" t="str">
        <x:v>쿨다운</x:v>
      </x:c>
      <x:c r="E4" s="15" t="str">
        <x:v>기본 수/틱</x:v>
      </x:c>
      <x:c r="F4" s="15" t="str">
        <x:v>지속/반경</x:v>
      </x:c>
      <x:c r="G4" s="15" t="str">
        <x:v>정적 1대상 프록시</x:v>
      </x:c>
      <x:c r="H4" s="15" t="str">
        <x:v>유효 사거리</x:v>
      </x:c>
      <x:c r="I4" s="15" t="str">
        <x:v>실측 10초 DPS</x:v>
      </x:c>
      <x:c r="J4" s="15" t="str">
        <x:v>화면 안 피해</x:v>
      </x:c>
      <x:c r="K4" s="15" t="str">
        <x:v>화면 밖 피해</x:v>
      </x:c>
      <x:c r="L4" s="15" t="str">
        <x:v>화면 안 비율</x:v>
      </x:c>
      <x:c r="M4" s="15" t="str">
        <x:v>Overkill</x:v>
      </x:c>
      <x:c r="N4" s="15" t="str">
        <x:v>킬 수</x:v>
      </x:c>
    </x:row>
    <x:row r="5" ht="15" hidden="0" customHeight="1">
      <x:c r="A5" s="12" t="n">
        <x:v>9201</x:v>
      </x:c>
      <x:c r="B5" s="12" t="str">
        <x:v>도끼</x:v>
      </x:c>
      <x:c r="C5" s="12" t="n">
        <x:v>15</x:v>
      </x:c>
      <x:c r="D5" s="12" t="n">
        <x:v>1.5</x:v>
      </x:c>
      <x:c r="E5" s="12" t="n">
        <x:v>1</x:v>
      </x:c>
      <x:c r="F5" s="12" t="str">
        <x:v>0.2s / r2</x:v>
      </x:c>
      <x:c r="G5" s="12" t="n">
        <x:f>C5*E5/D5</x:f>
        <x:v>10</x:v>
      </x:c>
      <x:c r="H5" s="12" t="n">
        <x:v>6</x:v>
      </x:c>
      <x:c r="I5" s="16"/>
      <x:c r="J5" s="16"/>
      <x:c r="K5" s="16"/>
      <x:c r="L5" s="23" t="str">
        <x:f>IF(OR(J5="",K5=""),"",IF(J5+K5=0,"",J5/(J5+K5)))</x:f>
      </x:c>
      <x:c r="M5" s="16"/>
      <x:c r="N5" s="16"/>
    </x:row>
    <x:row r="6" ht="15" hidden="0" customHeight="1">
      <x:c r="A6" s="12" t="n">
        <x:v>9202</x:v>
      </x:c>
      <x:c r="B6" s="12" t="str">
        <x:v>아이스크림</x:v>
      </x:c>
      <x:c r="C6" s="12" t="n">
        <x:v>10</x:v>
      </x:c>
      <x:c r="D6" s="12" t="n">
        <x:v>5</x:v>
      </x:c>
      <x:c r="E6" s="12" t="n">
        <x:v>1</x:v>
      </x:c>
      <x:c r="F6" s="12" t="str">
        <x:v>3s</x:v>
      </x:c>
      <x:c r="G6" s="12" t="n">
        <x:f>C6*E6/D6</x:f>
        <x:v>2</x:v>
      </x:c>
      <x:c r="H6" s="12" t="n">
        <x:v>6</x:v>
      </x:c>
      <x:c r="I6" s="16"/>
      <x:c r="J6" s="16"/>
      <x:c r="K6" s="16"/>
      <x:c r="L6" s="23" t="str">
        <x:f>IF(OR(J6="",K6=""),"",IF(J6+K6=0,"",J6/(J6+K6)))</x:f>
      </x:c>
      <x:c r="M6" s="16"/>
      <x:c r="N6" s="16"/>
    </x:row>
    <x:row r="7" ht="15" hidden="0" customHeight="1">
      <x:c r="A7" s="12" t="n">
        <x:v>9203</x:v>
      </x:c>
      <x:c r="B7" s="12" t="str">
        <x:v>동전지갑</x:v>
      </x:c>
      <x:c r="C7" s="12" t="n">
        <x:v>20</x:v>
      </x:c>
      <x:c r="D7" s="12" t="n">
        <x:v>1</x:v>
      </x:c>
      <x:c r="E7" s="12" t="n">
        <x:v>1</x:v>
      </x:c>
      <x:c r="F7" s="12" t="str">
        <x:v>직선</x:v>
      </x:c>
      <x:c r="G7" s="12" t="n">
        <x:f>C7*E7/D7</x:f>
        <x:v>20</x:v>
      </x:c>
      <x:c r="H7" s="12" t="n">
        <x:v>6</x:v>
      </x:c>
      <x:c r="I7" s="16"/>
      <x:c r="J7" s="16"/>
      <x:c r="K7" s="16"/>
      <x:c r="L7" s="23" t="str">
        <x:f>IF(OR(J7="",K7=""),"",IF(J7+K7=0,"",J7/(J7+K7)))</x:f>
      </x:c>
      <x:c r="M7" s="16"/>
      <x:c r="N7" s="16"/>
    </x:row>
    <x:row r="8" ht="15" hidden="0" customHeight="1">
      <x:c r="A8" s="12" t="n">
        <x:v>9204</x:v>
      </x:c>
      <x:c r="B8" s="12" t="str">
        <x:v>지폐</x:v>
      </x:c>
      <x:c r="C8" s="12" t="n">
        <x:v>5</x:v>
      </x:c>
      <x:c r="D8" s="12" t="n">
        <x:v>1.5</x:v>
      </x:c>
      <x:c r="E8" s="12" t="n">
        <x:v>1</x:v>
      </x:c>
      <x:c r="F8" s="12" t="str">
        <x:v>3s / r2</x:v>
      </x:c>
      <x:c r="G8" s="12" t="n">
        <x:f>C8*E8/D8</x:f>
        <x:v>3.3333333333333335</x:v>
      </x:c>
      <x:c r="H8" s="12" t="n">
        <x:v>2</x:v>
      </x:c>
      <x:c r="I8" s="16"/>
      <x:c r="J8" s="16"/>
      <x:c r="K8" s="16"/>
      <x:c r="L8" s="23" t="str">
        <x:f>IF(OR(J8="",K8=""),"",IF(J8+K8=0,"",J8/(J8+K8)))</x:f>
      </x:c>
      <x:c r="M8" s="16"/>
      <x:c r="N8" s="16"/>
    </x:row>
    <x:row r="9" ht="15" hidden="0" customHeight="1">
      <x:c r="A9" s="12" t="n">
        <x:v>9205</x:v>
      </x:c>
      <x:c r="B9" s="12" t="str">
        <x:v>벼락</x:v>
      </x:c>
      <x:c r="C9" s="12" t="n">
        <x:v>20</x:v>
      </x:c>
      <x:c r="D9" s="12" t="n">
        <x:v>3</x:v>
      </x:c>
      <x:c r="E9" s="12" t="n">
        <x:v>2</x:v>
      </x:c>
      <x:c r="F9" s="12" t="str">
        <x:v>즉시</x:v>
      </x:c>
      <x:c r="G9" s="12" t="n">
        <x:f>C9*E9/D9</x:f>
        <x:v>13.333333333333334</x:v>
      </x:c>
      <x:c r="H9" s="12" t="n">
        <x:v>6</x:v>
      </x:c>
      <x:c r="I9" s="16"/>
      <x:c r="J9" s="16"/>
      <x:c r="K9" s="16"/>
      <x:c r="L9" s="23" t="str">
        <x:f>IF(OR(J9="",K9=""),"",IF(J9+K9=0,"",J9/(J9+K9)))</x:f>
      </x:c>
      <x:c r="M9" s="16"/>
      <x:c r="N9" s="16"/>
    </x:row>
    <x:row r="10" ht="15" hidden="0" customHeight="1">
      <x:c r="A10" s="12" t="n">
        <x:v>9206</x:v>
      </x:c>
      <x:c r="B10" s="12" t="str">
        <x:v>돗방석</x:v>
      </x:c>
      <x:c r="C10" s="12" t="n">
        <x:v>10</x:v>
      </x:c>
      <x:c r="D10" s="12" t="n">
        <x:v>1</x:v>
      </x:c>
      <x:c r="E10" s="12" t="n">
        <x:v>1</x:v>
      </x:c>
      <x:c r="F10" s="12" t="str">
        <x:v>tick / r1.4</x:v>
      </x:c>
      <x:c r="G10" s="12" t="n">
        <x:f>C10*E10/D10</x:f>
        <x:v>10</x:v>
      </x:c>
      <x:c r="H10" s="12" t="n">
        <x:v>1.4</x:v>
      </x:c>
      <x:c r="I10" s="16"/>
      <x:c r="J10" s="16"/>
      <x:c r="K10" s="16"/>
      <x:c r="L10" s="23" t="str">
        <x:f>IF(OR(J10="",K10=""),"",IF(J10+K10=0,"",J10/(J10+K10)))</x:f>
      </x:c>
      <x:c r="M10" s="16"/>
      <x:c r="N10" s="16"/>
    </x:row>
    <x:row r="11"/>
    <x:row r="12"/>
    <x:row r="13" ht="15" hidden="0" customHeight="1">
      <x:c r="A13" s="8" t="str">
        <x:v>판정 기준</x:v>
      </x:c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</x:row>
    <x:row r="14" ht="15" hidden="0" customHeight="1">
      <x:c r="A14" s="15" t="str">
        <x:v>지표</x:v>
      </x:c>
      <x:c r="B14" s="15" t="str">
        <x:v>목표</x:v>
      </x:c>
      <x:c r="C14" s="15" t="str">
        <x:v>실패 의미</x:v>
      </x:c>
      <x:c r="D14" s="15" t="str">
        <x:v>첫 조정 레버</x:v>
      </x:c>
    </x:row>
    <x:row r="15" ht="15" hidden="0" customHeight="1">
      <x:c r="A15" s="12" t="str">
        <x:v>화면 안 피해 비율</x:v>
      </x:c>
      <x:c r="B15" s="12" t="str">
        <x:v>&gt;=80%</x:v>
      </x:c>
      <x:c r="C15" s="12" t="str">
        <x:v>보이지 않는 적을 공격</x:v>
      </x:c>
      <x:c r="D15" s="12" t="str">
        <x:v>무기 사거리 → 카메라 → 스폰 위치</x:v>
      </x:c>
    </x:row>
    <x:row r="16" ht="15" hidden="0" customHeight="1">
      <x:c r="A16" s="12" t="str">
        <x:v>무기별 10초 DPS</x:v>
      </x:c>
      <x:c r="B16" s="12" t="str">
        <x:v>최고/최저 &lt;=2.5배</x:v>
      </x:c>
      <x:c r="C16" s="12" t="str">
        <x:v>선택지가 사실상 고정</x:v>
      </x:c>
      <x:c r="D16" s="12" t="str">
        <x:v>피해·쿨다운·명중 구조</x:v>
      </x:c>
    </x:row>
    <x:row r="17" ht="15" hidden="0" customHeight="1">
      <x:c r="A17" s="12" t="str">
        <x:v>Overkill 비율</x:v>
      </x:c>
      <x:c r="B17" s="12" t="str">
        <x:v>&lt;=25%</x:v>
      </x:c>
      <x:c r="C17" s="12" t="str">
        <x:v>수치가 DPS로 낭비</x:v>
      </x:c>
      <x:c r="D17" s="12" t="str">
        <x:v>피해 분산·타깃 선택</x:v>
      </x:c>
    </x:row>
    <x:row r="18" ht="15" hidden="0" customHeight="1">
      <x:c r="A18" s="12" t="str">
        <x:v>킬 기여</x:v>
      </x:c>
      <x:c r="B18" s="12" t="str">
        <x:v>0이 2구간 연속 금지</x:v>
      </x:c>
      <x:c r="C18" s="12" t="str">
        <x:v>무기가 기능하지 않음</x:v>
      </x:c>
      <x:c r="D18" s="12" t="str">
        <x:v>충돌/타깃/레벨 데이터</x:v>
      </x:c>
    </x:row>
  </x:sheetData>
  <x:mergeCells>
    <x:mergeCell ref="A1:N1"/>
    <x:mergeCell ref="A2:N2"/>
    <x:mergeCell ref="A13:N1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6" hidden="0" customWidth="1"/>
    <x:col min="3" max="3" width="22" hidden="0" customWidth="1"/>
    <x:col min="4" max="4" width="22" hidden="0" customWidth="1"/>
    <x:col min="5" max="5" width="22" hidden="0" customWidth="1"/>
    <x:col min="6" max="6" width="36" hidden="0" customWidth="1"/>
    <x:col min="7" max="7" width="17" hidden="0" customWidth="1"/>
    <x:col min="8" max="8" width="22" hidden="0" customWidth="1"/>
    <x:col min="9" max="9" width="22" hidden="0" customWidth="1"/>
    <x:col min="10" max="10" width="28" hidden="0" customWidth="1"/>
  </x:cols>
  <x:sheetData>
    <x:row r="1" ht="21.600000381469727" hidden="0" customHeight="1">
      <x:c r="A1" s="3" t="str">
        <x:v>몸집 성장·카메라·판정 상태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5" hidden="0" customHeight="1">
      <x:c r="A2" s="6" t="str">
        <x:v>상점은 timeScale 0이므로 성장 갱신을 잠그고, 닫힐 때 골드 기준 상태를 한 번에 재적용합니다.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/>
    <x:row r="4" ht="15" hidden="0" customHeight="1">
      <x:c r="A4" s="15" t="str">
        <x:v>성장 단계</x:v>
      </x:c>
      <x:c r="B4" s="15" t="str">
        <x:v>골드 문턱</x:v>
      </x:c>
      <x:c r="C4" s="15" t="str">
        <x:v>플레이어 스케일</x:v>
      </x:c>
      <x:c r="D4" s="15" t="str">
        <x:v>카메라 배율</x:v>
      </x:c>
      <x:c r="E4" s="15" t="str">
        <x:v>카메라 Size</x:v>
      </x:c>
      <x:c r="F4" s="15" t="str">
        <x:v>화면상 상대 크기</x:v>
      </x:c>
      <x:c r="G4" s="15" t="str">
        <x:v>공격 사거리 상한</x:v>
      </x:c>
      <x:c r="H4" s="15" t="str">
        <x:v>적용 시점</x:v>
      </x:c>
      <x:c r="I4" s="15" t="str">
        <x:v>상점 중 규칙</x:v>
      </x:c>
      <x:c r="J4" s="15" t="str">
        <x:v>검증</x:v>
      </x:c>
    </x:row>
    <x:row r="5" ht="15" hidden="0" customHeight="1">
      <x:c r="A5" s="12" t="str">
        <x:v>Normal</x:v>
      </x:c>
      <x:c r="B5" s="12" t="n">
        <x:v>0</x:v>
      </x:c>
      <x:c r="C5" s="12" t="n">
        <x:v>1</x:v>
      </x:c>
      <x:c r="D5" s="12" t="n">
        <x:v>1</x:v>
      </x:c>
      <x:c r="E5" s="24" t="n">
        <x:f>6*D5</x:f>
        <x:v>6</x:v>
      </x:c>
      <x:c r="F5" s="24" t="n">
        <x:f>C5/D5</x:f>
        <x:v>1</x:v>
      </x:c>
      <x:c r="G5" s="24" t="n">
        <x:f>E5*1.15</x:f>
        <x:v>6.8999999999999995</x:v>
      </x:c>
      <x:c r="H5" s="12" t="str">
        <x:v>런 시작/감소</x:v>
      </x:c>
      <x:c r="I5" s="12" t="str">
        <x:v>잠금 상태 유지</x:v>
      </x:c>
      <x:c r="J5" s="12" t="str">
        <x:v>정적</x:v>
      </x:c>
    </x:row>
    <x:row r="6" ht="15" hidden="0" customHeight="1">
      <x:c r="A6" s="12" t="str">
        <x:v>Big</x:v>
      </x:c>
      <x:c r="B6" s="12" t="n">
        <x:v>350</x:v>
      </x:c>
      <x:c r="C6" s="12" t="n">
        <x:v>1.25</x:v>
      </x:c>
      <x:c r="D6" s="12" t="n">
        <x:v>1.1</x:v>
      </x:c>
      <x:c r="E6" s="24" t="n">
        <x:f>6*D6</x:f>
        <x:v>6.6000000000000005</x:v>
      </x:c>
      <x:c r="F6" s="24" t="n">
        <x:f>C6/D6</x:f>
        <x:v>1.1363636363636362</x:v>
      </x:c>
      <x:c r="G6" s="24" t="n">
        <x:f>E6*1.15</x:f>
        <x:v>7.59</x:v>
      </x:c>
      <x:c r="H6" s="12" t="str">
        <x:v>골드 변화 후</x:v>
      </x:c>
      <x:c r="I6" s="12" t="str">
        <x:v>잠금 상태 유지</x:v>
      </x:c>
      <x:c r="J6" s="12" t="str">
        <x:v>정적</x:v>
      </x:c>
    </x:row>
    <x:row r="7" ht="15" hidden="0" customHeight="1">
      <x:c r="A7" s="12" t="str">
        <x:v>Giant</x:v>
      </x:c>
      <x:c r="B7" s="12" t="n">
        <x:v>650</x:v>
      </x:c>
      <x:c r="C7" s="12" t="n">
        <x:v>1.55</x:v>
      </x:c>
      <x:c r="D7" s="12" t="n">
        <x:v>1.22</x:v>
      </x:c>
      <x:c r="E7" s="24" t="n">
        <x:f>6*D7</x:f>
        <x:v>7.32</x:v>
      </x:c>
      <x:c r="F7" s="24" t="n">
        <x:f>C7/D7</x:f>
        <x:v>1.2704918032786885</x:v>
      </x:c>
      <x:c r="G7" s="24" t="n">
        <x:f>E7*1.15</x:f>
        <x:v>8.418</x:v>
      </x:c>
      <x:c r="H7" s="12" t="str">
        <x:v>골드 변화 후</x:v>
      </x:c>
      <x:c r="I7" s="12" t="str">
        <x:v>잠금 상태 유지</x:v>
      </x:c>
      <x:c r="J7" s="12" t="str">
        <x:v>정적</x:v>
      </x:c>
    </x:row>
    <x:row r="8" ht="15" hidden="0" customHeight="1">
      <x:c r="A8" s="12" t="str">
        <x:v>Colossal</x:v>
      </x:c>
      <x:c r="B8" s="12" t="n">
        <x:v>900</x:v>
      </x:c>
      <x:c r="C8" s="12" t="n">
        <x:v>1.9</x:v>
      </x:c>
      <x:c r="D8" s="12" t="n">
        <x:v>1.35</x:v>
      </x:c>
      <x:c r="E8" s="24" t="n">
        <x:f>6*D8</x:f>
        <x:v>8.100000000000001</x:v>
      </x:c>
      <x:c r="F8" s="24" t="n">
        <x:f>C8/D8</x:f>
        <x:v>1.4074074074074072</x:v>
      </x:c>
      <x:c r="G8" s="24" t="n">
        <x:f>E8*1.15</x:f>
        <x:v>9.315000000000001</x:v>
      </x:c>
      <x:c r="H8" s="12" t="str">
        <x:v>골드 변화 후</x:v>
      </x:c>
      <x:c r="I8" s="12" t="str">
        <x:v>잠금 상태 유지</x:v>
      </x:c>
      <x:c r="J8" s="12" t="str">
        <x:v>정적</x:v>
      </x:c>
    </x:row>
    <x:row r="9"/>
    <x:row r="10"/>
    <x:row r="11" ht="15" hidden="0" customHeight="1">
      <x:c r="A11" s="8" t="str">
        <x:v>필수 상태 전이</x:v>
      </x:c>
      <x:c r="B11" s="8"/>
      <x:c r="C11" s="8"/>
      <x:c r="D11" s="8"/>
      <x:c r="E11" s="8"/>
      <x:c r="F11" s="8"/>
      <x:c r="G11" s="8"/>
      <x:c r="H11" s="8"/>
      <x:c r="I11" s="8"/>
      <x:c r="J11" s="8"/>
    </x:row>
    <x:row r="12" ht="15" hidden="0" customHeight="1">
      <x:c r="A12" s="15" t="str">
        <x:v>전이</x:v>
      </x:c>
      <x:c r="B12" s="15" t="str">
        <x:v>timeScale</x:v>
      </x:c>
      <x:c r="C12" s="15" t="str">
        <x:v>성장 갱신</x:v>
      </x:c>
      <x:c r="D12" s="15" t="str">
        <x:v>외형/Collider</x:v>
      </x:c>
      <x:c r="E12" s="15" t="str">
        <x:v>카메라</x:v>
      </x:c>
      <x:c r="F12" s="15" t="str">
        <x:v>완료 조건</x:v>
      </x:c>
    </x:row>
    <x:row r="13" ht="15" hidden="0" customHeight="1">
      <x:c r="A13" s="12" t="str">
        <x:v>필드→상점</x:v>
      </x:c>
      <x:c r="B13" s="12" t="n">
        <x:v>0</x:v>
      </x:c>
      <x:c r="C13" s="12" t="str">
        <x:v>잠금</x:v>
      </x:c>
      <x:c r="D13" s="12" t="str">
        <x:v>현재 단계 고정</x:v>
      </x:c>
      <x:c r="E13" s="12" t="str">
        <x:v>현재 목표 유지</x:v>
      </x:c>
      <x:c r="F13" s="12" t="str">
        <x:v>진입비 차감으로 외형만 줄지 않음</x:v>
      </x:c>
    </x:row>
    <x:row r="14" ht="15" hidden="0" customHeight="1">
      <x:c r="A14" s="12" t="str">
        <x:v>상점 내 구매/판매</x:v>
      </x:c>
      <x:c r="B14" s="12" t="n">
        <x:v>0</x:v>
      </x:c>
      <x:c r="C14" s="12" t="str">
        <x:v>누적만</x:v>
      </x:c>
      <x:c r="D14" s="12" t="str">
        <x:v>고정</x:v>
      </x:c>
      <x:c r="E14" s="12" t="str">
        <x:v>고정</x:v>
      </x:c>
      <x:c r="F14" s="12" t="str">
        <x:v>여러 골드 변화에도 단일 상태</x:v>
      </x:c>
    </x:row>
    <x:row r="15" ht="15" hidden="0" customHeight="1">
      <x:c r="A15" s="12" t="str">
        <x:v>상점→필드</x:v>
      </x:c>
      <x:c r="B15" s="12" t="n">
        <x:v>1</x:v>
      </x:c>
      <x:c r="C15" s="12" t="str">
        <x:v>잠금 해제 후 스냅</x:v>
      </x:c>
      <x:c r="D15" s="12" t="str">
        <x:v>동일 프레임 목표 통일</x:v>
      </x:c>
      <x:c r="E15" s="12" t="str">
        <x:v>새 성장 목표로 보간</x:v>
      </x:c>
      <x:c r="F15" s="12" t="str">
        <x:v>외형·판정·카메라가 같은 단계</x:v>
      </x:c>
    </x:row>
    <x:row r="16" ht="15" hidden="0" customHeight="1">
      <x:c r="A16" s="12" t="str">
        <x:v>필드 피격</x:v>
      </x:c>
      <x:c r="B16" s="12" t="n">
        <x:v>1</x:v>
      </x:c>
      <x:c r="C16" s="12" t="str">
        <x:v>즉시 반영</x:v>
      </x:c>
      <x:c r="D16" s="12" t="str">
        <x:v>같이 축소</x:v>
      </x:c>
      <x:c r="E16" s="12" t="str">
        <x:v>새 목표로 보간</x:v>
      </x:c>
      <x:c r="F16" s="12" t="str">
        <x:v>경계 349/350,649/650,899/900</x:v>
      </x:c>
    </x:row>
    <x:row r="17" ht="15" hidden="0" customHeight="1">
      <x:c r="A17" s="12" t="str">
        <x:v>GameOver</x:v>
      </x:c>
      <x:c r="B17" s="12" t="n">
        <x:v>0</x:v>
      </x:c>
      <x:c r="C17" s="12" t="str">
        <x:v>정지</x:v>
      </x:c>
      <x:c r="D17" s="12" t="str">
        <x:v>마지막 상태</x:v>
      </x:c>
      <x:c r="E17" s="12" t="str">
        <x:v>정지</x:v>
      </x:c>
      <x:c r="F17" s="12" t="str">
        <x:v>중복 GameOver 없음</x:v>
      </x:c>
    </x:row>
  </x:sheetData>
  <x:mergeCells>
    <x:mergeCell ref="A1:J1"/>
    <x:mergeCell ref="A2:J2"/>
    <x:mergeCell ref="A11:J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40" hidden="0" customWidth="1"/>
    <x:col min="4" max="4" width="17" hidden="0" customWidth="1"/>
    <x:col min="5" max="5" width="40" hidden="0" customWidth="1"/>
    <x:col min="6" max="6" width="11" hidden="0" customWidth="1"/>
    <x:col min="7" max="7" width="11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5" hidden="0" customWidth="1"/>
  </x:cols>
  <x:sheetData>
    <x:row r="1" ht="21.600000381469727" hidden="0" customHeight="1">
      <x:c r="A1" s="3" t="str">
        <x:v>플레이 측정 기록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6" hidden="0" customHeight="1">
      <x:c r="A2" s="6" t="str">
        <x:v>노란 칸에 실제 측정값을 입력합니다. 판정에 필요한 원거리 적 수, 화면 안·밖 피해, FPS, 1% low, 오류 수가 모두 숫자여야 판정합니다.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/>
    <x:row r="4" ht="15" hidden="0" customHeight="1">
      <x:c r="A4" s="15" t="str">
        <x:v>시각</x:v>
      </x:c>
      <x:c r="B4" s="15" t="str">
        <x:v>현재G</x:v>
      </x:c>
      <x:c r="C4" s="15" t="str">
        <x:v>누적 획득G</x:v>
      </x:c>
      <x:c r="D4" s="15" t="str">
        <x:v>레벨</x:v>
      </x:c>
      <x:c r="E4" s="15" t="str">
        <x:v>상점 횟수</x:v>
      </x:c>
      <x:c r="F4" s="15" t="str">
        <x:v>활성 적</x:v>
      </x:c>
      <x:c r="G4" s="15" t="str">
        <x:v>원거리 적</x:v>
      </x:c>
      <x:c r="H4" s="15" t="str">
        <x:v>10초 DPS</x:v>
      </x:c>
      <x:c r="I4" s="15" t="str">
        <x:v>화면 안 피해</x:v>
      </x:c>
      <x:c r="J4" s="15" t="str">
        <x:v>화면 밖 피해</x:v>
      </x:c>
      <x:c r="K4" s="15" t="str">
        <x:v>평균 FPS</x:v>
      </x:c>
      <x:c r="L4" s="15" t="str">
        <x:v>1% low</x:v>
      </x:c>
      <x:c r="M4" s="15" t="str">
        <x:v>신규 오류 수</x:v>
      </x:c>
      <x:c r="N4" s="15" t="str">
        <x:v>구간 판정</x:v>
      </x:c>
    </x:row>
    <x:row r="5" ht="15" hidden="0" customHeight="1">
      <x:c r="A5" s="12" t="str">
        <x:v>1:00</x:v>
      </x:c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2" t="str">
        <x:f>IF(COUNT(G5,I5,J5,K5,L5,M5)&lt;6,"미측정",IF(AND(G5&lt;=6,K5&gt;=55,L5&gt;=45,M5=0,IF(I5+J5=0,FALSE,I5/(I5+J5)&gt;=0.8)),"목표 범위","재조정"))</x:f>
        <x:v>미측정</x:v>
      </x:c>
    </x:row>
    <x:row r="6" ht="15" hidden="0" customHeight="1">
      <x:c r="A6" s="12" t="str">
        <x:v>3:50</x:v>
      </x:c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2" t="str">
        <x:f>IF(COUNT(G6,I6,J6,K6,L6,M6)&lt;6,"미측정",IF(AND(G6&lt;=6,K6&gt;=55,L6&gt;=45,M6=0,IF(I6+J6=0,FALSE,I6/(I6+J6)&gt;=0.8)),"목표 범위","재조정"))</x:f>
        <x:v>미측정</x:v>
      </x:c>
    </x:row>
    <x:row r="7" ht="24" hidden="0" customHeight="1">
      <x:c r="A7" s="12" t="str">
        <x:v>4:10 보스 후</x:v>
      </x:c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2" t="str">
        <x:f>IF(COUNT(G7,I7,J7,K7,L7,M7)&lt;6,"미측정",IF(AND(G7&lt;=6,K7&gt;=55,L7&gt;=45,M7=0,IF(I7+J7=0,FALSE,I7/(I7+J7)&gt;=0.8)),"목표 범위","재조정"))</x:f>
        <x:v>미측정</x:v>
      </x:c>
    </x:row>
    <x:row r="8" ht="15" hidden="0" customHeight="1">
      <x:c r="A8" s="12" t="str">
        <x:v>7:50</x:v>
      </x:c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2" t="str">
        <x:f>IF(COUNT(G8,I8,J8,K8,L8,M8)&lt;6,"미측정",IF(AND(G8&lt;=6,K8&gt;=55,L8&gt;=45,M8=0,IF(I8+J8=0,FALSE,I8/(I8+J8)&gt;=0.8)),"목표 범위","재조정"))</x:f>
        <x:v>미측정</x:v>
      </x:c>
    </x:row>
    <x:row r="9" ht="24" hidden="0" customHeight="1">
      <x:c r="A9" s="12" t="str">
        <x:v>8:10 보스 후</x:v>
      </x:c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2" t="str">
        <x:f>IF(COUNT(G9,I9,J9,K9,L9,M9)&lt;6,"미측정",IF(AND(G9&lt;=6,K9&gt;=55,L9&gt;=45,M9=0,IF(I9+J9=0,FALSE,I9/(I9+J9)&gt;=0.8)),"목표 범위","재조정"))</x:f>
        <x:v>미측정</x:v>
      </x:c>
    </x:row>
    <x:row r="10" ht="15" hidden="0" customHeight="1">
      <x:c r="A10" s="12" t="str">
        <x:v>11:50</x:v>
      </x:c>
      <x:c r="B10" s="16"/>
      <x:c r="C10" s="16"/>
      <x:c r="D10" s="16"/>
      <x:c r="E10" s="16"/>
      <x:c r="F10" s="16"/>
      <x:c r="G10" s="16"/>
      <x:c r="H10" s="16"/>
      <x:c r="I10" s="16"/>
      <x:c r="J10" s="16"/>
      <x:c r="K10" s="16"/>
      <x:c r="L10" s="16"/>
      <x:c r="M10" s="16"/>
      <x:c r="N10" s="12" t="str">
        <x:f>IF(COUNT(G10,I10,J10,K10,L10,M10)&lt;6,"미측정",IF(AND(G10&lt;=6,K10&gt;=55,L10&gt;=45,M10=0,IF(I10+J10=0,FALSE,I10/(I10+J10)&gt;=0.8)),"목표 범위","재조정"))</x:f>
        <x:v>미측정</x:v>
      </x:c>
    </x:row>
    <x:row r="11" ht="24" hidden="0" customHeight="1">
      <x:c r="A11" s="12" t="str">
        <x:v>12:10 보스 후</x:v>
      </x:c>
      <x:c r="B11" s="16"/>
      <x:c r="C11" s="16"/>
      <x:c r="D11" s="16"/>
      <x:c r="E11" s="16"/>
      <x:c r="F11" s="16"/>
      <x:c r="G11" s="16"/>
      <x:c r="H11" s="16"/>
      <x:c r="I11" s="16"/>
      <x:c r="J11" s="16"/>
      <x:c r="K11" s="16"/>
      <x:c r="L11" s="16"/>
      <x:c r="M11" s="16"/>
      <x:c r="N11" s="12" t="str">
        <x:f>IF(COUNT(G11,I11,J11,K11,L11,M11)&lt;6,"미측정",IF(AND(G11&lt;=6,K11&gt;=55,L11&gt;=45,M11=0,IF(I11+J11=0,FALSE,I11/(I11+J11)&gt;=0.8)),"목표 범위","재조정"))</x:f>
        <x:v>미측정</x:v>
      </x:c>
    </x:row>
    <x:row r="12" ht="15" hidden="0" customHeight="1">
      <x:c r="A12" s="12" t="str">
        <x:v>14:50</x:v>
      </x:c>
      <x:c r="B12" s="16"/>
      <x:c r="C12" s="16"/>
      <x:c r="D12" s="16"/>
      <x:c r="E12" s="16"/>
      <x:c r="F12" s="16"/>
      <x:c r="G12" s="16"/>
      <x:c r="H12" s="16"/>
      <x:c r="I12" s="16"/>
      <x:c r="J12" s="16"/>
      <x:c r="K12" s="16"/>
      <x:c r="L12" s="16"/>
      <x:c r="M12" s="16"/>
      <x:c r="N12" s="12" t="str">
        <x:f>IF(COUNT(G12,I12,J12,K12,L12,M12)&lt;6,"미측정",IF(AND(G12&lt;=6,K12&gt;=55,L12&gt;=45,M12=0,IF(I12+J12=0,FALSE,I12/(I12+J12)&gt;=0.8)),"목표 범위","재조정"))</x:f>
        <x:v>미측정</x:v>
      </x:c>
    </x:row>
    <x:row r="13" ht="15" hidden="0" customHeight="1">
      <x:c r="A13" s="12" t="str">
        <x:v>15:00 종료</x:v>
      </x:c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2" t="str">
        <x:f>IF(COUNT(G13,I13,J13,K13,L13,M13)&lt;6,"미측정",IF(AND(G13&lt;=6,K13&gt;=55,L13&gt;=45,M13=0,IF(I13+J13=0,FALSE,I13/(I13+J13)&gt;=0.8)),"목표 범위","재조정"))</x:f>
        <x:v>미측정</x:v>
      </x:c>
    </x:row>
    <x:row r="14"/>
    <x:row r="15"/>
    <x:row r="16" ht="15" hidden="0" customHeight="1">
      <x:c r="A16" s="8" t="str">
        <x:v>회귀 체크리스트</x:v>
      </x:c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</x:row>
    <x:row r="17" ht="15" hidden="0" customHeight="1">
      <x:c r="A17" s="15" t="str">
        <x:v>순서</x:v>
      </x:c>
      <x:c r="B17" s="15" t="str">
        <x:v>검증</x:v>
      </x:c>
      <x:c r="C17" s="15" t="str">
        <x:v>통과 기준</x:v>
      </x:c>
      <x:c r="D17" s="15" t="str">
        <x:v>결과</x:v>
      </x:c>
      <x:c r="E17" s="15" t="str">
        <x:v>메모</x:v>
      </x:c>
    </x:row>
    <x:row r="18" ht="15" hidden="0" customHeight="1">
      <x:c r="A18" s="12" t="n">
        <x:v>1</x:v>
      </x:c>
      <x:c r="B18" s="12" t="str">
        <x:v>Start 업그레이드 한글</x:v>
      </x:c>
      <x:c r="C18" s="12" t="str">
        <x:v>ㅁㅁㅁ 없음</x:v>
      </x:c>
      <x:c r="D18" s="16" t="str">
        <x:v>미측정</x:v>
      </x:c>
      <x:c r="E18" s="16" t="str"/>
    </x:row>
    <x:row r="19" ht="15" hidden="0" customHeight="1">
      <x:c r="A19" s="12" t="n">
        <x:v>2</x:v>
      </x:c>
      <x:c r="B19" s="12" t="str">
        <x:v>상점 진입/종료 반복</x:v>
      </x:c>
      <x:c r="C19" s="12" t="str">
        <x:v>pause owner 누수·중복 이자 없음</x:v>
      </x:c>
      <x:c r="D19" s="16" t="str">
        <x:v>미측정</x:v>
      </x:c>
      <x:c r="E19" s="16" t="str"/>
    </x:row>
    <x:row r="20" ht="15" hidden="0" customHeight="1">
      <x:c r="A20" s="12" t="n">
        <x:v>3</x:v>
      </x:c>
      <x:c r="B20" s="12" t="str">
        <x:v>패시브 7개 보유+상점 3개</x:v>
      </x:c>
      <x:c r="C20" s="12" t="str">
        <x:v>1개만 구매, 판매 후 다시 4 unit까지</x:v>
      </x:c>
      <x:c r="D20" s="16" t="str">
        <x:v>미측정</x:v>
      </x:c>
      <x:c r="E20" s="16" t="str"/>
    </x:row>
    <x:row r="21" ht="15" hidden="0" customHeight="1">
      <x:c r="A21" s="12" t="n">
        <x:v>4</x:v>
      </x:c>
      <x:c r="B21" s="12" t="str">
        <x:v>성장 경계+상점</x:v>
      </x:c>
      <x:c r="C21" s="12" t="str">
        <x:v>외형/Collider/카메라 동일 단계</x:v>
      </x:c>
      <x:c r="D21" s="16" t="str">
        <x:v>미측정</x:v>
      </x:c>
      <x:c r="E21" s="16" t="str"/>
    </x:row>
    <x:row r="22" ht="15" hidden="0" customHeight="1">
      <x:c r="A22" s="12" t="n">
        <x:v>5</x:v>
      </x:c>
      <x:c r="B22" s="12" t="str">
        <x:v>중간보스 상자</x:v>
      </x:c>
      <x:c r="C22" s="12" t="str">
        <x:v>맵 이탈/청크 전환 후 사라지지 않음</x:v>
      </x:c>
      <x:c r="D22" s="16" t="str">
        <x:v>미측정</x:v>
      </x:c>
      <x:c r="E22" s="16" t="str"/>
    </x:row>
    <x:row r="23" ht="15" hidden="0" customHeight="1">
      <x:c r="A23" s="12" t="n">
        <x:v>6</x:v>
      </x:c>
      <x:c r="B23" s="12" t="str">
        <x:v>골드 드랍</x:v>
      </x:c>
      <x:c r="C23" s="12" t="str">
        <x:v>맵 이탈/복귀 후 유효 드랍 보존</x:v>
      </x:c>
      <x:c r="D23" s="16" t="str">
        <x:v>미측정</x:v>
      </x:c>
      <x:c r="E23" s="16" t="str"/>
    </x:row>
    <x:row r="24" ht="15" hidden="0" customHeight="1">
      <x:c r="A24" s="12" t="n">
        <x:v>7</x:v>
      </x:c>
      <x:c r="B24" s="12" t="str">
        <x:v>최종보스 피격/사망</x:v>
      </x:c>
      <x:c r="C24" s="12" t="str">
        <x:v>Animator 경고 0, QTE/사망 순서 정상</x:v>
      </x:c>
      <x:c r="D24" s="16" t="str">
        <x:v>미측정</x:v>
      </x:c>
      <x:c r="E24" s="16" t="str"/>
    </x:row>
    <x:row r="25" ht="15" hidden="0" customHeight="1">
      <x:c r="A25" s="12" t="n">
        <x:v>8</x:v>
      </x:c>
      <x:c r="B25" s="12" t="str">
        <x:v>저장/불러오기</x:v>
      </x:c>
      <x:c r="C25" s="12" t="str">
        <x:v>빈/구버전 슬롯 안전, 플레이타임 증가</x:v>
      </x:c>
      <x:c r="D25" s="16" t="str">
        <x:v>미측정</x:v>
      </x:c>
      <x:c r="E25" s="16" t="str"/>
    </x:row>
  </x:sheetData>
  <x:mergeCells>
    <x:mergeCell ref="A1:N1"/>
    <x:mergeCell ref="A2:N2"/>
    <x:mergeCell ref="A16:N16"/>
  </x:mergeCells>
  <x:conditionalFormatting sqref="N5:N13">
    <x:cfRule type="containsText" dxfId="3" priority="1" operator="containsText" text="재조정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20" hidden="0" customWidth="1"/>
    <x:col min="4" max="4" width="26" hidden="0" customWidth="1"/>
    <x:col min="5" max="5" width="22" hidden="0" customWidth="1"/>
    <x:col min="6" max="6" width="24" hidden="0" customWidth="1"/>
    <x:col min="7" max="7" width="12" hidden="0" customWidth="1"/>
    <x:col min="8" max="8" width="20" hidden="0" customWidth="1"/>
  </x:cols>
  <x:sheetData>
    <x:row r="1" ht="21.600000381469727" hidden="0" customHeight="1">
      <x:c r="A1" s="3" t="str">
        <x:v>데이터 품질·추적성</x:v>
      </x:c>
      <x:c r="B1" s="3"/>
      <x:c r="C1" s="3"/>
      <x:c r="D1" s="3"/>
      <x:c r="E1" s="3"/>
      <x:c r="F1" s="3"/>
      <x:c r="G1" s="3"/>
      <x:c r="H1" s="3"/>
    </x:row>
    <x:row r="2" ht="15" hidden="0" customHeight="1">
      <x:c r="A2" s="6" t="str">
        <x:v>정적 사실, 계산식, Play Mode 실측, 설계 목표를 구분합니다.</x:v>
      </x:c>
      <x:c r="B2" s="6"/>
      <x:c r="C2" s="6"/>
      <x:c r="D2" s="6"/>
      <x:c r="E2" s="6"/>
      <x:c r="F2" s="6"/>
      <x:c r="G2" s="6"/>
      <x:c r="H2" s="6"/>
    </x:row>
    <x:row r="3"/>
    <x:row r="4" ht="15" hidden="0" customHeight="1">
      <x:c r="A4" s="15" t="str">
        <x:v>대상</x:v>
      </x:c>
      <x:c r="B4" s="15" t="str">
        <x:v>출처</x:v>
      </x:c>
      <x:c r="C4" s="15" t="str">
        <x:v>종류</x:v>
      </x:c>
      <x:c r="D4" s="15" t="str">
        <x:v>현재 상태</x:v>
      </x:c>
      <x:c r="E4" s="15" t="str">
        <x:v>검증 방법</x:v>
      </x:c>
      <x:c r="F4" s="15" t="str">
        <x:v>남은 위험</x:v>
      </x:c>
      <x:c r="G4" s="15" t="str">
        <x:v>확인 방식</x:v>
      </x:c>
      <x:c r="H4" s="15" t="str">
        <x:v>갱신 규칙</x:v>
      </x:c>
    </x:row>
    <x:row r="5" ht="15" hidden="0" customHeight="1">
      <x:c r="A5" s="12" t="str">
        <x:v>캐릭터/적 CSV</x:v>
      </x:c>
      <x:c r="B5" s="12" t="str">
        <x:v>Assets/Resources/Data</x:v>
      </x:c>
      <x:c r="C5" s="12" t="str">
        <x:v>코드 입력</x:v>
      </x:c>
      <x:c r="D5" s="12" t="str">
        <x:v>반영</x:v>
      </x:c>
      <x:c r="E5" s="12" t="str">
        <x:v>CSV+컴파일</x:v>
      </x:c>
      <x:c r="F5" s="12" t="str">
        <x:v>Play Mode 체감</x:v>
      </x:c>
      <x:c r="G5" s="12" t="str">
        <x:v>코드·데이터 분석</x:v>
      </x:c>
      <x:c r="H5" s="12" t="str">
        <x:v>코드 변경 시</x:v>
      </x:c>
    </x:row>
    <x:row r="6" ht="15" hidden="0" customHeight="1">
      <x:c r="A6" s="12" t="str">
        <x:v>스폰 타임라인</x:v>
      </x:c>
      <x:c r="B6" s="12" t="str">
        <x:v>Assets/04_Datas/stage1_Data.asset</x:v>
      </x:c>
      <x:c r="C6" s="12" t="str">
        <x:v>코드 입력</x:v>
      </x:c>
      <x:c r="D6" s="12" t="str">
        <x:v>반영</x:v>
      </x:c>
      <x:c r="E6" s="12" t="str">
        <x:v>YAML+목표 수식</x:v>
      </x:c>
      <x:c r="F6" s="12" t="str">
        <x:v>실제 alive 변동</x:v>
      </x:c>
      <x:c r="G6" s="12" t="str">
        <x:v>코드·데이터 분석</x:v>
      </x:c>
      <x:c r="H6" s="12" t="str">
        <x:v>스폰 변경 시</x:v>
      </x:c>
    </x:row>
    <x:row r="7" ht="15" hidden="0" customHeight="1">
      <x:c r="A7" s="12" t="str">
        <x:v>상점/인벤토리</x:v>
      </x:c>
      <x:c r="B7" s="12" t="str">
        <x:v>C# + Trade_Canvas.prefab</x:v>
      </x:c>
      <x:c r="C7" s="12" t="str">
        <x:v>코드 입력</x:v>
      </x:c>
      <x:c r="D7" s="12" t="str">
        <x:v>반영</x:v>
      </x:c>
      <x:c r="E7" s="12" t="str">
        <x:v>직렬화+컴파일</x:v>
      </x:c>
      <x:c r="F7" s="12" t="str">
        <x:v>런타임 참조</x:v>
      </x:c>
      <x:c r="G7" s="12" t="str">
        <x:v>코드·데이터 분석</x:v>
      </x:c>
      <x:c r="H7" s="12" t="str">
        <x:v>가격 변경 시</x:v>
      </x:c>
    </x:row>
    <x:row r="8" ht="15" hidden="0" customHeight="1">
      <x:c r="A8" s="12" t="str">
        <x:v>폰트</x:v>
      </x:c>
      <x:c r="B8" s="12" t="str">
        <x:v>NotoSansKR TMP assets</x:v>
      </x:c>
      <x:c r="C8" s="12" t="str">
        <x:v>표시 확인</x:v>
      </x:c>
      <x:c r="D8" s="12" t="str">
        <x:v>별도 확인 기록</x:v>
      </x:c>
      <x:c r="E8" s="12" t="str">
        <x:v>업그레이드 화면 한글 확인</x:v>
      </x:c>
      <x:c r="F8" s="12" t="str">
        <x:v>다른 화면의 표시</x:v>
      </x:c>
      <x:c r="G8" s="12" t="str">
        <x:v>직접 플레이</x:v>
      </x:c>
      <x:c r="H8" s="12" t="str">
        <x:v>별도 폰트 작업</x:v>
      </x:c>
    </x:row>
    <x:row r="9" ht="15" hidden="0" customHeight="1">
      <x:c r="A9" s="12" t="str">
        <x:v>DPS/화면 밖 피해</x:v>
      </x:c>
      <x:c r="B9" s="12" t="str">
        <x:v>WeaponDamageTelemetry</x:v>
      </x:c>
      <x:c r="C9" s="12" t="str">
        <x:v>Play Mode 실측</x:v>
      </x:c>
      <x:c r="D9" s="12" t="str">
        <x:v>미측정</x:v>
      </x:c>
      <x:c r="E9" s="12" t="str">
        <x:v>15분 플레이 측정</x:v>
      </x:c>
      <x:c r="F9" s="12" t="str">
        <x:v>무기별 샘플 부족</x:v>
      </x:c>
      <x:c r="G9" s="12" t="str">
        <x:v>플레이 측정</x:v>
      </x:c>
      <x:c r="H9" s="12" t="str">
        <x:v>매 밸패</x:v>
      </x:c>
    </x:row>
    <x:row r="10" ht="15" hidden="0" customHeight="1">
      <x:c r="A10" s="12" t="str">
        <x:v>FPS/1% low</x:v>
      </x:c>
      <x:c r="B10" s="12" t="str">
        <x:v>Unity Profiler/표시</x:v>
      </x:c>
      <x:c r="C10" s="12" t="str">
        <x:v>Play Mode 실측</x:v>
      </x:c>
      <x:c r="D10" s="12" t="str">
        <x:v>미측정</x:v>
      </x:c>
      <x:c r="E10" s="12" t="str">
        <x:v>동일 PC 15분 측정</x:v>
      </x:c>
      <x:c r="F10" s="12" t="str">
        <x:v>환경 의존</x:v>
      </x:c>
      <x:c r="G10" s="12" t="str">
        <x:v>플레이 측정</x:v>
      </x:c>
      <x:c r="H10" s="12" t="str">
        <x:v>스폰/투사체 변경 시</x:v>
      </x:c>
    </x:row>
    <x:row r="11" ht="15" hidden="0" customHeight="1">
      <x:c r="A11" s="12" t="str">
        <x:v>드랍/상자 지속성</x:v>
      </x:c>
      <x:c r="B11" s="12" t="str">
        <x:v>런타임 상태</x:v>
      </x:c>
      <x:c r="C11" s="12" t="str">
        <x:v>Play Mode 회귀</x:v>
      </x:c>
      <x:c r="D11" s="12" t="str">
        <x:v>미측정</x:v>
      </x:c>
      <x:c r="E11" s="12" t="str">
        <x:v>맵 이탈·복귀</x:v>
      </x:c>
      <x:c r="F11" s="12" t="str">
        <x:v>정적 재현 불가</x:v>
      </x:c>
      <x:c r="G11" s="12" t="str">
        <x:v>플레이 확인</x:v>
      </x:c>
      <x:c r="H11" s="12" t="str">
        <x:v>맵/풀링 변경 시</x:v>
      </x:c>
    </x:row>
    <x:row r="12"/>
    <x:row r="13"/>
    <x:row r="14" ht="15" hidden="0" customHeight="1">
      <x:c r="A14" s="8" t="str">
        <x:v>확인 범위</x:v>
      </x:c>
      <x:c r="B14" s="8"/>
      <x:c r="C14" s="8"/>
      <x:c r="D14" s="8"/>
      <x:c r="E14" s="8"/>
      <x:c r="F14" s="8"/>
      <x:c r="G14" s="8"/>
      <x:c r="H14" s="8"/>
    </x:row>
    <x:row r="15" ht="15" hidden="0" customHeight="1">
      <x:c r="A15" s="15" t="str">
        <x:v>검증 층</x:v>
      </x:c>
      <x:c r="B15" s="15" t="str">
        <x:v>확인한 내용</x:v>
      </x:c>
      <x:c r="C15" s="15" t="str">
        <x:v>추가 확인 대상</x:v>
      </x:c>
      <x:c r="D15" s="15" t="str">
        <x:v>기록 방법</x:v>
      </x:c>
    </x:row>
    <x:row r="16" ht="15" hidden="0" customHeight="1">
      <x:c r="A16" s="12" t="str">
        <x:v>정적/컴파일</x:v>
      </x:c>
      <x:c r="B16" s="12" t="str">
        <x:v>코드·참조·컴파일 점검</x:v>
      </x:c>
      <x:c r="C16" s="12" t="str">
        <x:v>게임 체감</x:v>
      </x:c>
      <x:c r="D16" s="12" t="str">
        <x:v>실행 결과와 명령 기록</x:v>
      </x:c>
    </x:row>
    <x:row r="17" ht="15" hidden="0" customHeight="1">
      <x:c r="A17" s="12" t="str">
        <x:v>Play Mode</x:v>
      </x:c>
      <x:c r="B17" s="12" t="str">
        <x:v>측정 항목과 입력 양식</x:v>
      </x:c>
      <x:c r="C17" s="12" t="str">
        <x:v>실제 플레이 측정값</x:v>
      </x:c>
      <x:c r="D17" s="12" t="str">
        <x:v>입력 전에는 항상 미측정</x:v>
      </x:c>
    </x:row>
    <x:row r="18" ht="15" hidden="0" customHeight="1">
      <x:c r="A18" s="12" t="str">
        <x:v>기준 버전</x:v>
      </x:c>
      <x:c r="B18" s="12" t="str">
        <x:v>2026년 7월 16일 작업 기록</x:v>
      </x:c>
      <x:c r="C18" s="12" t="str">
        <x:v>현재 버전의 실행 결과</x:v>
      </x:c>
      <x:c r="D18" s="12" t="str">
        <x:v>기준 날짜와 별도로 기록</x:v>
      </x:c>
    </x:row>
  </x:sheetData>
  <x:mergeCells>
    <x:mergeCell ref="A1:H1"/>
    <x:mergeCell ref="A2:H2"/>
    <x:mergeCell ref="A14:H14"/>
  </x:mergeCells>
  <x:pageMargins left="0.7" right="0.7" top="0.75" bottom="0.75" header="0.3" footer="0.3"/>
</x:worksheet>
</file>